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 Bacave\Documents\Perso\courses\anova_2_facteurs\"/>
    </mc:Choice>
  </mc:AlternateContent>
  <xr:revisionPtr revIDLastSave="0" documentId="13_ncr:1_{D439B707-4ECA-4FED-8887-4DA85A49626E}" xr6:coauthVersionLast="47" xr6:coauthVersionMax="47" xr10:uidLastSave="{00000000-0000-0000-0000-000000000000}"/>
  <bookViews>
    <workbookView xWindow="-108" yWindow="-108" windowWidth="23256" windowHeight="13896" firstSheet="1" activeTab="2" xr2:uid="{657F523D-D4D9-FE46-B1EA-0AD601CA53B7}"/>
  </bookViews>
  <sheets>
    <sheet name="Depression-like behavior" sheetId="1" r:id="rId1"/>
    <sheet name="Anxiety" sheetId="4" r:id="rId2"/>
    <sheet name="Social interaction" sheetId="5" r:id="rId3"/>
    <sheet name="Spatial memory" sheetId="6" r:id="rId4"/>
    <sheet name="Corticosterone" sheetId="2" r:id="rId5"/>
    <sheet name="Body weigh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3" l="1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<sst xmlns="http://schemas.openxmlformats.org/spreadsheetml/2006/main" count="97" uniqueCount="50">
  <si>
    <t>Housing</t>
  </si>
  <si>
    <t>Sex</t>
  </si>
  <si>
    <t>Mouse</t>
  </si>
  <si>
    <t>Sucrose consumption in SPT</t>
  </si>
  <si>
    <t>Immobility time in TST</t>
  </si>
  <si>
    <t>Immobility episodes in TST</t>
  </si>
  <si>
    <t>Approaches to the intruder in SIT</t>
  </si>
  <si>
    <t>Average approach to the intruder in SIT</t>
  </si>
  <si>
    <t>Distance in trial 1-1</t>
  </si>
  <si>
    <t>Distance in trial 1-2</t>
  </si>
  <si>
    <t>Distance in trial 2-1</t>
  </si>
  <si>
    <t>Distance in trial 2-2</t>
  </si>
  <si>
    <t>Distance in trial 3-1</t>
  </si>
  <si>
    <t>Distance in trial 3-2</t>
  </si>
  <si>
    <t>Total distance in BM</t>
  </si>
  <si>
    <t>Body weight before isolation</t>
  </si>
  <si>
    <t>Body weight during week 1</t>
  </si>
  <si>
    <t>Body weight during week 2</t>
  </si>
  <si>
    <t>Body weight during week 3</t>
  </si>
  <si>
    <t>Body weight during week 4</t>
  </si>
  <si>
    <t>Body weight gain</t>
  </si>
  <si>
    <t>Males</t>
  </si>
  <si>
    <t>Females</t>
  </si>
  <si>
    <t>Group housing</t>
  </si>
  <si>
    <t>Single housing</t>
  </si>
  <si>
    <t>1 month</t>
  </si>
  <si>
    <t>2 months</t>
  </si>
  <si>
    <t/>
  </si>
  <si>
    <t>Time in the target quadrant of BM on day 4</t>
  </si>
  <si>
    <t>Entries to the open arms of EPM</t>
  </si>
  <si>
    <t>Entries to the light chamber of LDB</t>
  </si>
  <si>
    <t>Total distance travelled in OF (m)</t>
  </si>
  <si>
    <t>Time in the open arms of EPM (s)</t>
  </si>
  <si>
    <t>Distance in the open arms of EPM (m)</t>
  </si>
  <si>
    <t>Latency to the first enter into the closed arms of EPM (s)</t>
  </si>
  <si>
    <t>Time in the light chamber of LDB (s)</t>
  </si>
  <si>
    <t>Average visit of the light chamber of LDB (s)</t>
  </si>
  <si>
    <t>Latency to first exit from the light chamber of LDB (s)</t>
  </si>
  <si>
    <t>Time in the central zone of OF (s)</t>
  </si>
  <si>
    <t>Entries in the central zone of OF</t>
  </si>
  <si>
    <t>Entries in the thigmotaxis in OF</t>
  </si>
  <si>
    <t>Time of thigmotaxis in OF (s)</t>
  </si>
  <si>
    <t>Distance in the central zone of OF (m)</t>
  </si>
  <si>
    <t>Distance in the thigmotaxis in OF (m)</t>
  </si>
  <si>
    <t>Latency to enter the thigmotaxis zone of OF (s)</t>
  </si>
  <si>
    <t>contact_time</t>
  </si>
  <si>
    <t>Group</t>
  </si>
  <si>
    <t>Single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</si>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</sst>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color rgb="FF0000FF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ADE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0" fillId="0" borderId="7" xfId="0" applyBorder="1"/>
    <xf numFmtId="0" fontId="0" fillId="0" borderId="8" xfId="0" applyBorder="1"/>
    <xf numFmtId="164" fontId="4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9" fontId="0" fillId="0" borderId="14" xfId="1" applyFont="1" applyBorder="1" applyAlignment="1">
      <alignment horizontal="center"/>
    </xf>
    <xf numFmtId="9" fontId="0" fillId="0" borderId="15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9" fontId="8" fillId="0" borderId="1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164" fontId="4" fillId="0" borderId="14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9" fillId="0" borderId="0" xfId="0" applyNumberFormat="1" applyFont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D5EB-47DB-4547-9663-2FC0E30E2728}">
  <dimension ref="A1:AK41"/>
  <sheetViews>
    <sheetView workbookViewId="0">
      <selection activeCell="I9" sqref="I9"/>
    </sheetView>
  </sheetViews>
  <sheetFormatPr baseColWidth="10" defaultRowHeight="15.6" x14ac:dyDescent="0.3"/>
  <cols>
    <col min="1" max="2" width="10.796875" style="9"/>
    <col min="3" max="3" width="10.796875" style="10"/>
    <col min="4" max="4" width="18.296875" style="9" customWidth="1"/>
    <col min="5" max="5" width="14.69921875" style="9" customWidth="1"/>
    <col min="6" max="6" width="18.296875" style="9" customWidth="1"/>
    <col min="9" max="10" width="10.796875" style="9"/>
  </cols>
  <sheetData>
    <row r="1" spans="1:37" s="49" customFormat="1" ht="31.8" thickBot="1" x14ac:dyDescent="0.35">
      <c r="A1" s="44" t="s">
        <v>1</v>
      </c>
      <c r="B1" s="44" t="s">
        <v>0</v>
      </c>
      <c r="C1" s="44" t="s">
        <v>2</v>
      </c>
      <c r="D1" s="45" t="s">
        <v>3</v>
      </c>
      <c r="E1" s="44" t="s">
        <v>4</v>
      </c>
      <c r="F1" s="46" t="s">
        <v>5</v>
      </c>
      <c r="L1" s="50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:37" ht="16.05" customHeight="1" x14ac:dyDescent="0.3">
      <c r="A2" s="77" t="s">
        <v>21</v>
      </c>
      <c r="B2" s="83" t="s">
        <v>23</v>
      </c>
      <c r="C2" s="28">
        <v>17</v>
      </c>
      <c r="D2" s="51">
        <v>0.5</v>
      </c>
      <c r="E2" s="11">
        <v>185.05</v>
      </c>
      <c r="F2" s="14">
        <v>28</v>
      </c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">
      <c r="A3" s="78"/>
      <c r="B3" s="84"/>
      <c r="C3" s="10">
        <v>18</v>
      </c>
      <c r="D3" s="52">
        <v>0.5</v>
      </c>
      <c r="E3" s="12">
        <v>96.6</v>
      </c>
      <c r="F3" s="15">
        <v>24.5</v>
      </c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7" x14ac:dyDescent="0.3">
      <c r="A4" s="78"/>
      <c r="B4" s="84"/>
      <c r="C4" s="10">
        <v>124</v>
      </c>
      <c r="D4" s="52">
        <v>0.89</v>
      </c>
      <c r="E4" s="12">
        <v>119.3</v>
      </c>
      <c r="F4" s="15">
        <v>19.5</v>
      </c>
      <c r="H4" s="1"/>
      <c r="I4" s="1"/>
      <c r="J4" s="1"/>
    </row>
    <row r="5" spans="1:37" x14ac:dyDescent="0.3">
      <c r="A5" s="78"/>
      <c r="B5" s="84"/>
      <c r="C5" s="10">
        <v>125</v>
      </c>
      <c r="D5" s="52">
        <v>0.96</v>
      </c>
      <c r="E5" s="12">
        <v>194.3</v>
      </c>
      <c r="F5" s="15">
        <v>25</v>
      </c>
      <c r="H5" s="1"/>
      <c r="I5" s="1"/>
      <c r="J5" s="1"/>
    </row>
    <row r="6" spans="1:37" x14ac:dyDescent="0.3">
      <c r="A6" s="78"/>
      <c r="B6" s="84"/>
      <c r="C6" s="10">
        <v>126</v>
      </c>
      <c r="D6" s="52">
        <v>0.98</v>
      </c>
      <c r="E6" s="12">
        <v>161.85000000000002</v>
      </c>
      <c r="F6" s="15">
        <v>16.5</v>
      </c>
      <c r="H6" s="1"/>
      <c r="I6" s="1"/>
      <c r="J6" s="1"/>
    </row>
    <row r="7" spans="1:37" x14ac:dyDescent="0.3">
      <c r="A7" s="78"/>
      <c r="B7" s="84"/>
      <c r="C7" s="10">
        <v>167</v>
      </c>
      <c r="D7" s="52">
        <v>0.80303030303030309</v>
      </c>
      <c r="E7" s="12">
        <v>15.370000000000001</v>
      </c>
      <c r="F7" s="15">
        <v>7.5</v>
      </c>
      <c r="H7" s="1"/>
      <c r="I7" s="1"/>
      <c r="J7" s="1"/>
    </row>
    <row r="8" spans="1:37" x14ac:dyDescent="0.3">
      <c r="A8" s="78"/>
      <c r="B8" s="84"/>
      <c r="C8" s="10">
        <v>168</v>
      </c>
      <c r="D8" s="52">
        <v>0.61764705882352933</v>
      </c>
      <c r="E8" s="12">
        <v>151.85</v>
      </c>
      <c r="F8" s="15">
        <v>21</v>
      </c>
      <c r="H8" s="1"/>
      <c r="I8" s="1"/>
      <c r="J8" s="1"/>
    </row>
    <row r="9" spans="1:37" x14ac:dyDescent="0.3">
      <c r="A9" s="78"/>
      <c r="B9" s="84"/>
      <c r="C9" s="10">
        <v>169</v>
      </c>
      <c r="D9" s="52">
        <v>0.74074074074074081</v>
      </c>
      <c r="E9" s="12">
        <v>131.25</v>
      </c>
      <c r="F9" s="15">
        <v>35</v>
      </c>
      <c r="H9" s="1"/>
      <c r="I9" s="1"/>
      <c r="J9" s="1"/>
    </row>
    <row r="10" spans="1:37" x14ac:dyDescent="0.3">
      <c r="A10" s="78"/>
      <c r="B10" s="84"/>
      <c r="C10" s="10">
        <v>259</v>
      </c>
      <c r="D10" s="52">
        <v>0.810126582278481</v>
      </c>
      <c r="E10" s="12">
        <v>222.85</v>
      </c>
      <c r="F10" s="15">
        <v>17</v>
      </c>
      <c r="H10" s="1"/>
      <c r="I10" s="1"/>
      <c r="J10" s="1"/>
    </row>
    <row r="11" spans="1:37" x14ac:dyDescent="0.3">
      <c r="A11" s="78"/>
      <c r="B11" s="85"/>
      <c r="C11" s="29">
        <v>260</v>
      </c>
      <c r="D11" s="53">
        <v>0.88888888888888884</v>
      </c>
      <c r="E11" s="17">
        <v>158.60000000000002</v>
      </c>
      <c r="F11" s="18">
        <v>17.5</v>
      </c>
      <c r="H11" s="1"/>
      <c r="I11" s="1"/>
      <c r="J11" s="1"/>
    </row>
    <row r="12" spans="1:37" ht="16.05" customHeight="1" x14ac:dyDescent="0.3">
      <c r="A12" s="78"/>
      <c r="B12" s="86" t="s">
        <v>24</v>
      </c>
      <c r="C12" s="10">
        <v>57</v>
      </c>
      <c r="D12" s="52">
        <v>0.6</v>
      </c>
      <c r="E12" s="12">
        <v>144.69999999999999</v>
      </c>
      <c r="F12" s="15">
        <v>27</v>
      </c>
      <c r="H12" s="1"/>
      <c r="I12" s="1"/>
      <c r="J12" s="1"/>
    </row>
    <row r="13" spans="1:37" x14ac:dyDescent="0.3">
      <c r="A13" s="78"/>
      <c r="B13" s="86"/>
      <c r="C13" s="10">
        <v>58</v>
      </c>
      <c r="D13" s="59">
        <v>0.2</v>
      </c>
      <c r="E13" s="12">
        <v>157.69999999999999</v>
      </c>
      <c r="F13" s="15">
        <v>17.5</v>
      </c>
      <c r="H13" s="1"/>
      <c r="I13" s="1"/>
      <c r="J13" s="1"/>
    </row>
    <row r="14" spans="1:37" x14ac:dyDescent="0.3">
      <c r="A14" s="78"/>
      <c r="B14" s="86"/>
      <c r="C14" s="10">
        <v>59</v>
      </c>
      <c r="D14" s="59">
        <v>0.7</v>
      </c>
      <c r="E14" s="12">
        <v>129.35</v>
      </c>
      <c r="F14" s="15">
        <v>23</v>
      </c>
      <c r="H14" s="1"/>
      <c r="I14" s="1"/>
      <c r="J14" s="1"/>
    </row>
    <row r="15" spans="1:37" x14ac:dyDescent="0.3">
      <c r="A15" s="78"/>
      <c r="B15" s="86"/>
      <c r="C15" s="10">
        <v>134</v>
      </c>
      <c r="D15" s="59">
        <v>0.93</v>
      </c>
      <c r="E15" s="12">
        <v>69.39</v>
      </c>
      <c r="F15" s="15">
        <v>14</v>
      </c>
      <c r="H15" s="1"/>
      <c r="I15" s="1"/>
      <c r="J15" s="1"/>
    </row>
    <row r="16" spans="1:37" x14ac:dyDescent="0.3">
      <c r="A16" s="78"/>
      <c r="B16" s="86"/>
      <c r="C16" s="10">
        <v>135</v>
      </c>
      <c r="D16" s="59">
        <v>0.97</v>
      </c>
      <c r="E16" s="12">
        <v>163.1</v>
      </c>
      <c r="F16" s="15">
        <v>25</v>
      </c>
      <c r="H16" s="1"/>
      <c r="I16" s="1"/>
      <c r="J16" s="1"/>
    </row>
    <row r="17" spans="1:10" x14ac:dyDescent="0.3">
      <c r="A17" s="78"/>
      <c r="B17" s="86"/>
      <c r="C17" s="10">
        <v>235</v>
      </c>
      <c r="D17" s="59">
        <v>0.79518072289156627</v>
      </c>
      <c r="E17" s="12">
        <v>194.1</v>
      </c>
      <c r="F17" s="15">
        <v>29</v>
      </c>
      <c r="H17" s="1"/>
      <c r="I17" s="1"/>
      <c r="J17" s="1"/>
    </row>
    <row r="18" spans="1:10" x14ac:dyDescent="0.3">
      <c r="A18" s="78"/>
      <c r="B18" s="86"/>
      <c r="C18" s="10">
        <v>236</v>
      </c>
      <c r="D18" s="59">
        <v>0.71794871794871806</v>
      </c>
      <c r="E18" s="12">
        <v>44.765000000000001</v>
      </c>
      <c r="F18" s="15">
        <v>12</v>
      </c>
      <c r="H18" s="1"/>
      <c r="I18" s="1"/>
      <c r="J18" s="1"/>
    </row>
    <row r="19" spans="1:10" x14ac:dyDescent="0.3">
      <c r="A19" s="78"/>
      <c r="B19" s="86"/>
      <c r="C19" s="10">
        <v>237</v>
      </c>
      <c r="D19" s="59">
        <v>0.7192982456140351</v>
      </c>
      <c r="E19" s="12">
        <v>197.15</v>
      </c>
      <c r="F19" s="15">
        <v>22.5</v>
      </c>
      <c r="H19" s="1"/>
      <c r="I19" s="1"/>
      <c r="J19" s="1"/>
    </row>
    <row r="20" spans="1:10" x14ac:dyDescent="0.3">
      <c r="A20" s="78"/>
      <c r="B20" s="86"/>
      <c r="C20" s="10">
        <v>269</v>
      </c>
      <c r="D20" s="59">
        <v>0.84615384615384615</v>
      </c>
      <c r="E20" s="12">
        <v>158.69999999999999</v>
      </c>
      <c r="F20" s="15">
        <v>22.5</v>
      </c>
      <c r="H20" s="1"/>
      <c r="I20" s="1"/>
      <c r="J20" s="1"/>
    </row>
    <row r="21" spans="1:10" ht="16.2" thickBot="1" x14ac:dyDescent="0.35">
      <c r="A21" s="79"/>
      <c r="B21" s="87"/>
      <c r="C21" s="30">
        <v>270</v>
      </c>
      <c r="D21" s="60">
        <v>0</v>
      </c>
      <c r="E21" s="13">
        <v>207.55</v>
      </c>
      <c r="F21" s="16">
        <v>26</v>
      </c>
      <c r="H21" s="1"/>
      <c r="I21" s="1"/>
      <c r="J21" s="1"/>
    </row>
    <row r="22" spans="1:10" ht="16.05" customHeight="1" x14ac:dyDescent="0.3">
      <c r="A22" s="80" t="s">
        <v>22</v>
      </c>
      <c r="B22" s="83" t="s">
        <v>23</v>
      </c>
      <c r="C22" s="28">
        <v>37</v>
      </c>
      <c r="D22" s="51">
        <v>0.6</v>
      </c>
      <c r="E22" s="11">
        <v>18.015000000000001</v>
      </c>
      <c r="F22" s="14">
        <v>12.5</v>
      </c>
      <c r="H22" s="1"/>
      <c r="I22" s="1"/>
    </row>
    <row r="23" spans="1:10" x14ac:dyDescent="0.3">
      <c r="A23" s="81"/>
      <c r="B23" s="84"/>
      <c r="C23" s="10">
        <v>38</v>
      </c>
      <c r="D23" s="52">
        <v>0.7</v>
      </c>
      <c r="E23" s="12">
        <v>36.24</v>
      </c>
      <c r="F23" s="15">
        <v>19</v>
      </c>
      <c r="H23" s="1"/>
      <c r="I23" s="1"/>
    </row>
    <row r="24" spans="1:10" x14ac:dyDescent="0.3">
      <c r="A24" s="81"/>
      <c r="B24" s="84"/>
      <c r="C24" s="10">
        <v>39</v>
      </c>
      <c r="D24" s="52">
        <v>0.6</v>
      </c>
      <c r="E24" s="12">
        <v>135.94999999999999</v>
      </c>
      <c r="F24" s="15">
        <v>16</v>
      </c>
      <c r="H24" s="1"/>
      <c r="I24" s="1"/>
    </row>
    <row r="25" spans="1:10" x14ac:dyDescent="0.3">
      <c r="A25" s="81"/>
      <c r="B25" s="84"/>
      <c r="C25" s="10">
        <v>40</v>
      </c>
      <c r="D25" s="52">
        <v>0.7</v>
      </c>
      <c r="E25" s="12">
        <v>87.275000000000006</v>
      </c>
      <c r="F25" s="15">
        <v>14</v>
      </c>
    </row>
    <row r="26" spans="1:10" x14ac:dyDescent="0.3">
      <c r="A26" s="81"/>
      <c r="B26" s="84"/>
      <c r="C26" s="10">
        <v>41</v>
      </c>
      <c r="D26" s="52">
        <v>0.7</v>
      </c>
      <c r="E26" s="12">
        <v>160.69999999999999</v>
      </c>
      <c r="F26" s="15">
        <v>18.5</v>
      </c>
    </row>
    <row r="27" spans="1:10" x14ac:dyDescent="0.3">
      <c r="A27" s="81"/>
      <c r="B27" s="84"/>
      <c r="C27" s="10">
        <v>215</v>
      </c>
      <c r="D27" s="52">
        <v>0.56481481481481477</v>
      </c>
      <c r="E27" s="12">
        <v>181.6</v>
      </c>
      <c r="F27" s="15">
        <v>23</v>
      </c>
    </row>
    <row r="28" spans="1:10" x14ac:dyDescent="0.3">
      <c r="A28" s="81"/>
      <c r="B28" s="84"/>
      <c r="C28" s="10">
        <v>216</v>
      </c>
      <c r="D28" s="52">
        <v>0.6339285714285714</v>
      </c>
      <c r="E28" s="12">
        <v>112.2</v>
      </c>
      <c r="F28" s="15">
        <v>18</v>
      </c>
    </row>
    <row r="29" spans="1:10" x14ac:dyDescent="0.3">
      <c r="A29" s="81"/>
      <c r="B29" s="84"/>
      <c r="C29" s="10">
        <v>217</v>
      </c>
      <c r="D29" s="52">
        <v>0.61855670103092786</v>
      </c>
      <c r="E29" s="12">
        <v>133.55000000000001</v>
      </c>
      <c r="F29" s="15">
        <v>24.5</v>
      </c>
    </row>
    <row r="30" spans="1:10" x14ac:dyDescent="0.3">
      <c r="A30" s="81"/>
      <c r="B30" s="84"/>
      <c r="C30" s="10">
        <v>218</v>
      </c>
      <c r="D30" s="52">
        <v>0.67625899280575541</v>
      </c>
      <c r="E30" s="12">
        <v>11.036000000000001</v>
      </c>
      <c r="F30" s="15">
        <v>10</v>
      </c>
    </row>
    <row r="31" spans="1:10" x14ac:dyDescent="0.3">
      <c r="A31" s="81"/>
      <c r="B31" s="85"/>
      <c r="C31" s="29">
        <v>219</v>
      </c>
      <c r="D31" s="53">
        <v>0.76100628930817615</v>
      </c>
      <c r="E31" s="17">
        <v>82.85499999999999</v>
      </c>
      <c r="F31" s="18">
        <v>22.5</v>
      </c>
    </row>
    <row r="32" spans="1:10" ht="16.05" customHeight="1" x14ac:dyDescent="0.3">
      <c r="A32" s="81"/>
      <c r="B32" s="86" t="s">
        <v>24</v>
      </c>
      <c r="C32" s="10">
        <v>12</v>
      </c>
      <c r="D32" s="52">
        <v>0.7</v>
      </c>
      <c r="E32" s="12">
        <v>114</v>
      </c>
      <c r="F32" s="15">
        <v>22.5</v>
      </c>
    </row>
    <row r="33" spans="1:6" x14ac:dyDescent="0.3">
      <c r="A33" s="81"/>
      <c r="B33" s="86"/>
      <c r="C33" s="10">
        <v>13</v>
      </c>
      <c r="D33" s="52">
        <v>0.6</v>
      </c>
      <c r="E33" s="12">
        <v>191.95</v>
      </c>
      <c r="F33" s="15">
        <v>21.5</v>
      </c>
    </row>
    <row r="34" spans="1:6" x14ac:dyDescent="0.3">
      <c r="A34" s="81"/>
      <c r="B34" s="86"/>
      <c r="C34" s="10">
        <v>14</v>
      </c>
      <c r="D34" s="52">
        <v>0.9</v>
      </c>
      <c r="E34" s="12">
        <v>116</v>
      </c>
      <c r="F34" s="15">
        <v>16.5</v>
      </c>
    </row>
    <row r="35" spans="1:6" x14ac:dyDescent="0.3">
      <c r="A35" s="81"/>
      <c r="B35" s="86"/>
      <c r="C35" s="10">
        <v>116</v>
      </c>
      <c r="D35" s="52">
        <v>0.96</v>
      </c>
      <c r="E35" s="12">
        <v>25.83</v>
      </c>
      <c r="F35" s="15">
        <v>23.5</v>
      </c>
    </row>
    <row r="36" spans="1:6" x14ac:dyDescent="0.3">
      <c r="A36" s="81"/>
      <c r="B36" s="86"/>
      <c r="C36" s="10">
        <v>117</v>
      </c>
      <c r="D36" s="52">
        <v>0.95</v>
      </c>
      <c r="E36" s="12">
        <v>181</v>
      </c>
      <c r="F36" s="15">
        <v>21.5</v>
      </c>
    </row>
    <row r="37" spans="1:6" x14ac:dyDescent="0.3">
      <c r="A37" s="81"/>
      <c r="B37" s="86"/>
      <c r="C37" s="10">
        <v>151</v>
      </c>
      <c r="D37" s="52">
        <v>0.87323943661971826</v>
      </c>
      <c r="E37" s="12">
        <v>159.44999999999999</v>
      </c>
      <c r="F37" s="15">
        <v>31</v>
      </c>
    </row>
    <row r="38" spans="1:6" x14ac:dyDescent="0.3">
      <c r="A38" s="81"/>
      <c r="B38" s="86"/>
      <c r="C38" s="10">
        <v>152</v>
      </c>
      <c r="D38" s="52">
        <v>0.82795698924731176</v>
      </c>
      <c r="E38" s="12">
        <v>125.75</v>
      </c>
      <c r="F38" s="15">
        <v>17.5</v>
      </c>
    </row>
    <row r="39" spans="1:6" x14ac:dyDescent="0.3">
      <c r="A39" s="81"/>
      <c r="B39" s="86"/>
      <c r="C39" s="10">
        <v>153</v>
      </c>
      <c r="D39" s="52">
        <v>0.74666666666666659</v>
      </c>
      <c r="E39" s="12">
        <v>121.3</v>
      </c>
      <c r="F39" s="15">
        <v>30</v>
      </c>
    </row>
    <row r="40" spans="1:6" x14ac:dyDescent="0.3">
      <c r="A40" s="81"/>
      <c r="B40" s="86"/>
      <c r="C40" s="10">
        <v>251</v>
      </c>
      <c r="D40" s="52">
        <v>0.72727272727272729</v>
      </c>
      <c r="E40" s="12">
        <v>59.484999999999999</v>
      </c>
      <c r="F40" s="15">
        <v>15</v>
      </c>
    </row>
    <row r="41" spans="1:6" ht="16.2" thickBot="1" x14ac:dyDescent="0.35">
      <c r="A41" s="82"/>
      <c r="B41" s="87"/>
      <c r="C41" s="30">
        <v>284</v>
      </c>
      <c r="D41" s="54">
        <v>0.85333333333333339</v>
      </c>
      <c r="E41" s="13">
        <v>165.95</v>
      </c>
      <c r="F41" s="16">
        <v>18.5</v>
      </c>
    </row>
  </sheetData>
  <mergeCells count="6">
    <mergeCell ref="B32:B41"/>
    <mergeCell ref="A22:A41"/>
    <mergeCell ref="A2:A21"/>
    <mergeCell ref="B2:B11"/>
    <mergeCell ref="B22:B31"/>
    <mergeCell ref="B12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AEE2-D47D-804D-A6CC-49438A5FFAD8}">
  <dimension ref="A1:AN4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10.796875" defaultRowHeight="15.6" x14ac:dyDescent="0.3"/>
  <cols>
    <col min="1" max="2" width="10.796875" style="9"/>
    <col min="3" max="3" width="10.796875" style="10"/>
    <col min="4" max="5" width="12.69921875" style="9" customWidth="1"/>
    <col min="6" max="6" width="15.69921875" style="9" customWidth="1"/>
    <col min="7" max="7" width="18.19921875" style="9" customWidth="1"/>
    <col min="8" max="9" width="13.19921875" style="9" customWidth="1"/>
    <col min="10" max="10" width="15.296875" style="9" customWidth="1"/>
    <col min="11" max="11" width="16.69921875" style="9" customWidth="1"/>
    <col min="12" max="12" width="13.19921875" style="9" customWidth="1"/>
    <col min="13" max="15" width="15" style="9" customWidth="1"/>
    <col min="16" max="19" width="15" style="20" customWidth="1"/>
    <col min="20" max="16384" width="10.796875" style="9"/>
  </cols>
  <sheetData>
    <row r="1" spans="1:40" s="48" customFormat="1" ht="54" customHeight="1" thickBot="1" x14ac:dyDescent="0.35">
      <c r="A1" s="44" t="s">
        <v>1</v>
      </c>
      <c r="B1" s="44" t="s">
        <v>0</v>
      </c>
      <c r="C1" s="44" t="s">
        <v>2</v>
      </c>
      <c r="D1" s="63" t="s">
        <v>32</v>
      </c>
      <c r="E1" s="62" t="s">
        <v>29</v>
      </c>
      <c r="F1" s="62" t="s">
        <v>33</v>
      </c>
      <c r="G1" s="64" t="s">
        <v>34</v>
      </c>
      <c r="H1" s="62" t="s">
        <v>35</v>
      </c>
      <c r="I1" s="62" t="s">
        <v>30</v>
      </c>
      <c r="J1" s="62" t="s">
        <v>36</v>
      </c>
      <c r="K1" s="62" t="s">
        <v>37</v>
      </c>
      <c r="L1" s="63" t="s">
        <v>31</v>
      </c>
      <c r="M1" s="62" t="s">
        <v>38</v>
      </c>
      <c r="N1" s="62" t="s">
        <v>41</v>
      </c>
      <c r="O1" s="62" t="s">
        <v>39</v>
      </c>
      <c r="P1" s="62" t="s">
        <v>40</v>
      </c>
      <c r="Q1" s="62" t="s">
        <v>42</v>
      </c>
      <c r="R1" s="62" t="s">
        <v>43</v>
      </c>
      <c r="S1" s="65" t="s">
        <v>44</v>
      </c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ht="16.05" customHeight="1" x14ac:dyDescent="0.3">
      <c r="A2" s="77" t="s">
        <v>21</v>
      </c>
      <c r="B2" s="83" t="s">
        <v>23</v>
      </c>
      <c r="C2" s="28">
        <v>17</v>
      </c>
      <c r="D2" s="33">
        <v>28.6</v>
      </c>
      <c r="E2" s="19">
        <v>2</v>
      </c>
      <c r="F2" s="41">
        <v>1.093</v>
      </c>
      <c r="G2" s="37">
        <v>19.2</v>
      </c>
      <c r="H2" s="11">
        <v>265.39999999999998</v>
      </c>
      <c r="I2" s="19">
        <v>2</v>
      </c>
      <c r="J2" s="11">
        <v>132.69999999999999</v>
      </c>
      <c r="K2" s="11">
        <v>262.2</v>
      </c>
      <c r="L2" s="33">
        <v>15.622</v>
      </c>
      <c r="M2" s="11">
        <v>1.5</v>
      </c>
      <c r="N2" s="11">
        <v>162.19999999999999</v>
      </c>
      <c r="O2" s="19">
        <v>5</v>
      </c>
      <c r="P2" s="19">
        <v>41</v>
      </c>
      <c r="Q2" s="41">
        <v>0.17299999999999999</v>
      </c>
      <c r="R2" s="11">
        <v>5.798</v>
      </c>
      <c r="S2" s="14">
        <v>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">
      <c r="A3" s="78"/>
      <c r="B3" s="84"/>
      <c r="C3" s="10">
        <v>18</v>
      </c>
      <c r="D3" s="34">
        <v>33.5</v>
      </c>
      <c r="E3" s="20">
        <v>3</v>
      </c>
      <c r="F3" s="61">
        <v>1.5920000000000001</v>
      </c>
      <c r="G3" s="38">
        <v>7</v>
      </c>
      <c r="H3" s="12">
        <v>159.5</v>
      </c>
      <c r="I3" s="20">
        <v>6</v>
      </c>
      <c r="J3" s="12">
        <v>26.6</v>
      </c>
      <c r="K3" s="12">
        <v>49.3</v>
      </c>
      <c r="L3" s="34">
        <v>9.6579999999999995</v>
      </c>
      <c r="M3" s="12">
        <v>0.4</v>
      </c>
      <c r="N3" s="12">
        <v>129.80000000000001</v>
      </c>
      <c r="O3" s="20">
        <v>3</v>
      </c>
      <c r="P3" s="20">
        <v>36</v>
      </c>
      <c r="Q3" s="61">
        <v>6.6000000000000003E-2</v>
      </c>
      <c r="R3" s="12">
        <v>4.3390000000000004</v>
      </c>
      <c r="S3" s="15">
        <v>0.7</v>
      </c>
    </row>
    <row r="4" spans="1:40" x14ac:dyDescent="0.3">
      <c r="A4" s="78"/>
      <c r="B4" s="84"/>
      <c r="C4" s="10">
        <v>124</v>
      </c>
      <c r="D4" s="34">
        <v>30.1</v>
      </c>
      <c r="E4" s="20">
        <v>1</v>
      </c>
      <c r="F4" s="61">
        <v>0.38200000000000001</v>
      </c>
      <c r="G4" s="38">
        <v>36.5</v>
      </c>
      <c r="H4" s="12">
        <v>21.2</v>
      </c>
      <c r="I4" s="20">
        <v>4</v>
      </c>
      <c r="J4" s="12">
        <v>5.3</v>
      </c>
      <c r="K4" s="12">
        <v>4.5</v>
      </c>
      <c r="L4" s="34">
        <v>15.675000000000001</v>
      </c>
      <c r="M4" s="12">
        <v>1.1000000000000001</v>
      </c>
      <c r="N4" s="12">
        <v>110.4</v>
      </c>
      <c r="O4" s="20">
        <v>4</v>
      </c>
      <c r="P4" s="20">
        <v>34</v>
      </c>
      <c r="Q4" s="61">
        <v>0.13200000000000001</v>
      </c>
      <c r="R4" s="12">
        <v>6.2469999999999999</v>
      </c>
      <c r="S4" s="15">
        <v>1.8</v>
      </c>
    </row>
    <row r="5" spans="1:40" x14ac:dyDescent="0.3">
      <c r="A5" s="78"/>
      <c r="B5" s="84"/>
      <c r="C5" s="10">
        <v>125</v>
      </c>
      <c r="D5" s="34">
        <v>7.5</v>
      </c>
      <c r="E5" s="20">
        <v>1</v>
      </c>
      <c r="F5" s="61">
        <v>2.1999999999999999E-2</v>
      </c>
      <c r="G5" s="38">
        <v>13.5</v>
      </c>
      <c r="H5" s="12">
        <v>72.400000000000006</v>
      </c>
      <c r="I5" s="20">
        <v>15</v>
      </c>
      <c r="J5" s="12">
        <v>4.8</v>
      </c>
      <c r="K5" s="12">
        <v>8.6</v>
      </c>
      <c r="L5" s="34">
        <v>11.634</v>
      </c>
      <c r="M5" s="12">
        <v>5.3</v>
      </c>
      <c r="N5" s="12">
        <v>109.5</v>
      </c>
      <c r="O5" s="20">
        <v>2</v>
      </c>
      <c r="P5" s="20">
        <v>29</v>
      </c>
      <c r="Q5" s="61">
        <v>6.4000000000000001E-2</v>
      </c>
      <c r="R5" s="12">
        <v>4.8730000000000002</v>
      </c>
      <c r="S5" s="15">
        <v>8.1999999999999993</v>
      </c>
    </row>
    <row r="6" spans="1:40" x14ac:dyDescent="0.3">
      <c r="A6" s="78"/>
      <c r="B6" s="84"/>
      <c r="C6" s="10">
        <v>126</v>
      </c>
      <c r="D6" s="34">
        <v>18.8</v>
      </c>
      <c r="E6" s="20">
        <v>7</v>
      </c>
      <c r="F6" s="61">
        <v>0.14799999999999999</v>
      </c>
      <c r="G6" s="38">
        <v>15.9</v>
      </c>
      <c r="H6" s="12">
        <v>95.2</v>
      </c>
      <c r="I6" s="20">
        <v>11</v>
      </c>
      <c r="J6" s="12">
        <v>8.6999999999999993</v>
      </c>
      <c r="K6" s="12">
        <v>12.8</v>
      </c>
      <c r="L6" s="34">
        <v>13.634</v>
      </c>
      <c r="M6" s="12">
        <v>6.8</v>
      </c>
      <c r="N6" s="12">
        <v>96.5</v>
      </c>
      <c r="O6" s="20">
        <v>10</v>
      </c>
      <c r="P6" s="20">
        <v>44</v>
      </c>
      <c r="Q6" s="61">
        <v>0.36199999999999999</v>
      </c>
      <c r="R6" s="12">
        <v>3.835</v>
      </c>
      <c r="S6" s="15">
        <v>5.3</v>
      </c>
    </row>
    <row r="7" spans="1:40" x14ac:dyDescent="0.3">
      <c r="A7" s="78"/>
      <c r="B7" s="84"/>
      <c r="C7" s="10">
        <v>167</v>
      </c>
      <c r="D7" s="34">
        <v>22.1</v>
      </c>
      <c r="E7" s="20">
        <v>3</v>
      </c>
      <c r="F7" s="61">
        <v>0.56299999999999994</v>
      </c>
      <c r="G7" s="38">
        <v>5</v>
      </c>
      <c r="H7" s="12">
        <v>153.30000000000001</v>
      </c>
      <c r="I7" s="20">
        <v>5</v>
      </c>
      <c r="J7" s="12">
        <v>30.7</v>
      </c>
      <c r="K7" s="12">
        <v>116.4</v>
      </c>
      <c r="L7" s="34">
        <v>24.806000000000001</v>
      </c>
      <c r="M7" s="12">
        <v>1.9</v>
      </c>
      <c r="N7" s="12">
        <v>165.7</v>
      </c>
      <c r="O7" s="20">
        <v>7</v>
      </c>
      <c r="P7" s="20">
        <v>53</v>
      </c>
      <c r="Q7" s="61">
        <v>0.21099999999999999</v>
      </c>
      <c r="R7" s="12">
        <v>12.385</v>
      </c>
      <c r="S7" s="15">
        <v>5.3</v>
      </c>
    </row>
    <row r="8" spans="1:40" x14ac:dyDescent="0.3">
      <c r="A8" s="78"/>
      <c r="B8" s="84"/>
      <c r="C8" s="10">
        <v>168</v>
      </c>
      <c r="D8" s="34">
        <v>23.7</v>
      </c>
      <c r="E8" s="20">
        <v>4</v>
      </c>
      <c r="F8" s="61">
        <v>0.80800000000000005</v>
      </c>
      <c r="G8" s="38">
        <v>13.7</v>
      </c>
      <c r="H8" s="12">
        <v>79</v>
      </c>
      <c r="I8" s="20">
        <v>13</v>
      </c>
      <c r="J8" s="12">
        <v>6.1</v>
      </c>
      <c r="K8" s="12">
        <v>2.2999999999999998</v>
      </c>
      <c r="L8" s="34">
        <v>9.8729999999999993</v>
      </c>
      <c r="M8" s="12">
        <v>4.3</v>
      </c>
      <c r="N8" s="12">
        <v>101.2</v>
      </c>
      <c r="O8" s="20">
        <v>4</v>
      </c>
      <c r="P8" s="20">
        <v>29</v>
      </c>
      <c r="Q8" s="61">
        <v>0.16</v>
      </c>
      <c r="R8" s="12">
        <v>4.2229999999999999</v>
      </c>
      <c r="S8" s="15">
        <v>0</v>
      </c>
    </row>
    <row r="9" spans="1:40" x14ac:dyDescent="0.3">
      <c r="A9" s="78"/>
      <c r="B9" s="84"/>
      <c r="C9" s="10">
        <v>169</v>
      </c>
      <c r="D9" s="34">
        <v>9.6999999999999993</v>
      </c>
      <c r="E9" s="20">
        <v>5</v>
      </c>
      <c r="F9" s="61">
        <v>8.5000000000000006E-2</v>
      </c>
      <c r="G9" s="38">
        <v>9.4</v>
      </c>
      <c r="H9" s="12">
        <v>155.4</v>
      </c>
      <c r="I9" s="20">
        <v>15</v>
      </c>
      <c r="J9" s="12">
        <v>10.4</v>
      </c>
      <c r="K9" s="12">
        <v>22.9</v>
      </c>
      <c r="L9" s="34">
        <v>15.898</v>
      </c>
      <c r="M9" s="12">
        <v>1.5</v>
      </c>
      <c r="N9" s="12">
        <v>138.1</v>
      </c>
      <c r="O9" s="20">
        <v>6</v>
      </c>
      <c r="P9" s="20">
        <v>41</v>
      </c>
      <c r="Q9" s="61">
        <v>0.26400000000000001</v>
      </c>
      <c r="R9" s="12">
        <v>6.125</v>
      </c>
      <c r="S9" s="15">
        <v>2.2999999999999998</v>
      </c>
    </row>
    <row r="10" spans="1:40" x14ac:dyDescent="0.3">
      <c r="A10" s="78"/>
      <c r="B10" s="84"/>
      <c r="C10" s="10">
        <v>259</v>
      </c>
      <c r="D10" s="34">
        <v>1.6</v>
      </c>
      <c r="E10" s="20">
        <v>1</v>
      </c>
      <c r="F10" s="61">
        <v>0</v>
      </c>
      <c r="G10" s="38">
        <v>6.4</v>
      </c>
      <c r="H10" s="12">
        <v>61.7</v>
      </c>
      <c r="I10" s="20">
        <v>12</v>
      </c>
      <c r="J10" s="12">
        <v>5.0999999999999996</v>
      </c>
      <c r="K10" s="12">
        <v>9.3000000000000007</v>
      </c>
      <c r="L10" s="34">
        <v>6.31</v>
      </c>
      <c r="M10" s="12">
        <v>7.2</v>
      </c>
      <c r="N10" s="12">
        <v>183.4</v>
      </c>
      <c r="O10" s="20">
        <v>7</v>
      </c>
      <c r="P10" s="20">
        <v>24</v>
      </c>
      <c r="Q10" s="61">
        <v>0.255</v>
      </c>
      <c r="R10" s="12">
        <v>2.4750000000000001</v>
      </c>
      <c r="S10" s="15">
        <v>12.3</v>
      </c>
    </row>
    <row r="11" spans="1:40" x14ac:dyDescent="0.3">
      <c r="A11" s="78"/>
      <c r="B11" s="85"/>
      <c r="C11" s="29">
        <v>260</v>
      </c>
      <c r="D11" s="35">
        <v>7.1</v>
      </c>
      <c r="E11" s="21">
        <v>1</v>
      </c>
      <c r="F11" s="42">
        <v>0.11899999999999999</v>
      </c>
      <c r="G11" s="39">
        <v>9.5</v>
      </c>
      <c r="H11" s="17">
        <v>255.2</v>
      </c>
      <c r="I11" s="21">
        <v>5</v>
      </c>
      <c r="J11" s="17">
        <v>51</v>
      </c>
      <c r="K11" s="17">
        <v>212</v>
      </c>
      <c r="L11" s="35">
        <v>11.239000000000001</v>
      </c>
      <c r="M11" s="17">
        <v>4.9000000000000004</v>
      </c>
      <c r="N11" s="17">
        <v>108.6</v>
      </c>
      <c r="O11" s="21">
        <v>3</v>
      </c>
      <c r="P11" s="21">
        <v>45</v>
      </c>
      <c r="Q11" s="42">
        <v>0.11</v>
      </c>
      <c r="R11" s="17">
        <v>4.3579999999999997</v>
      </c>
      <c r="S11" s="18">
        <v>0</v>
      </c>
    </row>
    <row r="12" spans="1:40" ht="16.05" customHeight="1" x14ac:dyDescent="0.3">
      <c r="A12" s="78"/>
      <c r="B12" s="86" t="s">
        <v>24</v>
      </c>
      <c r="C12" s="10">
        <v>57</v>
      </c>
      <c r="D12" s="34">
        <v>10.1</v>
      </c>
      <c r="E12" s="20">
        <v>3</v>
      </c>
      <c r="F12" s="61">
        <v>0.18</v>
      </c>
      <c r="G12" s="38">
        <v>4.7</v>
      </c>
      <c r="H12" s="12">
        <v>100.4</v>
      </c>
      <c r="I12" s="20">
        <v>9</v>
      </c>
      <c r="J12" s="12">
        <v>11.2</v>
      </c>
      <c r="K12" s="12">
        <v>3.4</v>
      </c>
      <c r="L12" s="34">
        <v>7.1280000000000001</v>
      </c>
      <c r="M12" s="12">
        <v>11.9</v>
      </c>
      <c r="N12" s="12">
        <v>196.9</v>
      </c>
      <c r="O12" s="20">
        <v>6</v>
      </c>
      <c r="P12" s="20">
        <v>18</v>
      </c>
      <c r="Q12" s="61">
        <v>0.19600000000000001</v>
      </c>
      <c r="R12" s="12">
        <v>4.1440000000000001</v>
      </c>
      <c r="S12" s="15">
        <v>8.4</v>
      </c>
    </row>
    <row r="13" spans="1:40" x14ac:dyDescent="0.3">
      <c r="A13" s="78"/>
      <c r="B13" s="86"/>
      <c r="C13" s="10">
        <v>58</v>
      </c>
      <c r="D13" s="34">
        <v>0.6</v>
      </c>
      <c r="E13" s="20">
        <v>1</v>
      </c>
      <c r="F13" s="61">
        <v>0</v>
      </c>
      <c r="G13" s="38">
        <v>3.8</v>
      </c>
      <c r="H13" s="12">
        <v>53.2</v>
      </c>
      <c r="I13" s="20">
        <v>8</v>
      </c>
      <c r="J13" s="12">
        <v>6.6</v>
      </c>
      <c r="K13" s="12">
        <v>11.5</v>
      </c>
      <c r="L13" s="34">
        <v>16.925999999999998</v>
      </c>
      <c r="M13" s="12">
        <v>10.7</v>
      </c>
      <c r="N13" s="12">
        <v>89</v>
      </c>
      <c r="O13" s="20">
        <v>8</v>
      </c>
      <c r="P13" s="20">
        <v>31</v>
      </c>
      <c r="Q13" s="61">
        <v>0.43099999999999999</v>
      </c>
      <c r="R13" s="12">
        <v>4.0890000000000004</v>
      </c>
      <c r="S13" s="15">
        <v>7</v>
      </c>
    </row>
    <row r="14" spans="1:40" x14ac:dyDescent="0.3">
      <c r="A14" s="78"/>
      <c r="B14" s="86"/>
      <c r="C14" s="10">
        <v>59</v>
      </c>
      <c r="D14" s="34">
        <v>13.5</v>
      </c>
      <c r="E14" s="20">
        <v>7</v>
      </c>
      <c r="F14" s="61">
        <v>0.11899999999999999</v>
      </c>
      <c r="G14" s="38">
        <v>6.2</v>
      </c>
      <c r="H14" s="12">
        <v>72.400000000000006</v>
      </c>
      <c r="I14" s="20">
        <v>8</v>
      </c>
      <c r="J14" s="12">
        <v>9</v>
      </c>
      <c r="K14" s="12">
        <v>15.7</v>
      </c>
      <c r="L14" s="34">
        <v>7.5179999999999998</v>
      </c>
      <c r="M14" s="12">
        <v>4.2</v>
      </c>
      <c r="N14" s="12">
        <v>235.2</v>
      </c>
      <c r="O14" s="20">
        <v>2</v>
      </c>
      <c r="P14" s="20">
        <v>20</v>
      </c>
      <c r="Q14" s="61">
        <v>9.4E-2</v>
      </c>
      <c r="R14" s="12">
        <v>5.4119999999999999</v>
      </c>
      <c r="S14" s="15">
        <v>11</v>
      </c>
    </row>
    <row r="15" spans="1:40" x14ac:dyDescent="0.3">
      <c r="A15" s="78"/>
      <c r="B15" s="86"/>
      <c r="C15" s="10">
        <v>134</v>
      </c>
      <c r="D15" s="34">
        <v>5.3</v>
      </c>
      <c r="E15" s="20">
        <v>3</v>
      </c>
      <c r="F15" s="61">
        <v>2.5000000000000001E-2</v>
      </c>
      <c r="G15" s="38">
        <v>9</v>
      </c>
      <c r="H15" s="12">
        <v>274.89999999999998</v>
      </c>
      <c r="I15" s="20">
        <v>2</v>
      </c>
      <c r="J15" s="12">
        <v>137.5</v>
      </c>
      <c r="K15" s="12">
        <v>268.39999999999998</v>
      </c>
      <c r="L15" s="34">
        <v>10.334</v>
      </c>
      <c r="M15" s="12">
        <v>0.1</v>
      </c>
      <c r="N15" s="12">
        <v>107.2</v>
      </c>
      <c r="O15" s="20">
        <v>1</v>
      </c>
      <c r="P15" s="20">
        <v>33</v>
      </c>
      <c r="Q15" s="61">
        <v>0.22700000000000001</v>
      </c>
      <c r="R15" s="12">
        <v>4.07</v>
      </c>
      <c r="S15" s="15">
        <v>6.5</v>
      </c>
    </row>
    <row r="16" spans="1:40" x14ac:dyDescent="0.3">
      <c r="A16" s="78"/>
      <c r="B16" s="86"/>
      <c r="C16" s="10">
        <v>135</v>
      </c>
      <c r="D16" s="34">
        <v>4.4000000000000004</v>
      </c>
      <c r="E16" s="20">
        <v>1</v>
      </c>
      <c r="F16" s="61">
        <v>5.0999999999999997E-2</v>
      </c>
      <c r="G16" s="38">
        <v>10.7</v>
      </c>
      <c r="H16" s="12">
        <v>285.89999999999998</v>
      </c>
      <c r="I16" s="20">
        <v>3</v>
      </c>
      <c r="J16" s="12">
        <v>95.3</v>
      </c>
      <c r="K16" s="12">
        <v>269.3</v>
      </c>
      <c r="L16" s="34">
        <v>10.349</v>
      </c>
      <c r="M16" s="12">
        <v>3.6</v>
      </c>
      <c r="N16" s="12">
        <v>180.3</v>
      </c>
      <c r="O16" s="20">
        <v>3</v>
      </c>
      <c r="P16" s="20">
        <v>28</v>
      </c>
      <c r="Q16" s="61">
        <v>0.04</v>
      </c>
      <c r="R16" s="12">
        <v>6.1159999999999997</v>
      </c>
      <c r="S16" s="15">
        <v>17.5</v>
      </c>
    </row>
    <row r="17" spans="1:19" x14ac:dyDescent="0.3">
      <c r="A17" s="78"/>
      <c r="B17" s="86"/>
      <c r="C17" s="10">
        <v>235</v>
      </c>
      <c r="D17" s="34">
        <v>42.1</v>
      </c>
      <c r="E17" s="20">
        <v>3</v>
      </c>
      <c r="F17" s="61">
        <v>0.9</v>
      </c>
      <c r="G17" s="38">
        <v>33.5</v>
      </c>
      <c r="H17" s="12">
        <v>300</v>
      </c>
      <c r="I17" s="20">
        <v>1</v>
      </c>
      <c r="J17" s="73">
        <v>300</v>
      </c>
      <c r="K17" s="12" t="s">
        <v>27</v>
      </c>
      <c r="L17" s="34">
        <v>8.0709999999999997</v>
      </c>
      <c r="M17" s="12">
        <v>0</v>
      </c>
      <c r="N17" s="12">
        <v>253.4</v>
      </c>
      <c r="O17" s="20">
        <v>0</v>
      </c>
      <c r="P17" s="20">
        <v>15</v>
      </c>
      <c r="Q17" s="61">
        <v>0</v>
      </c>
      <c r="R17" s="12">
        <v>6.36</v>
      </c>
      <c r="S17" s="15">
        <v>10.8</v>
      </c>
    </row>
    <row r="18" spans="1:19" x14ac:dyDescent="0.3">
      <c r="A18" s="78"/>
      <c r="B18" s="86"/>
      <c r="C18" s="10">
        <v>236</v>
      </c>
      <c r="D18" s="34">
        <v>2.7</v>
      </c>
      <c r="E18" s="20">
        <v>1</v>
      </c>
      <c r="F18" s="61">
        <v>8.4000000000000005E-2</v>
      </c>
      <c r="G18" s="38">
        <v>1.1000000000000001</v>
      </c>
      <c r="H18" s="12">
        <v>220.8</v>
      </c>
      <c r="I18" s="20">
        <v>13</v>
      </c>
      <c r="J18" s="12">
        <v>17</v>
      </c>
      <c r="K18" s="12">
        <v>173.6</v>
      </c>
      <c r="L18" s="34">
        <v>24.457000000000001</v>
      </c>
      <c r="M18" s="12">
        <v>9.9</v>
      </c>
      <c r="N18" s="12">
        <v>164.6</v>
      </c>
      <c r="O18" s="20">
        <v>12</v>
      </c>
      <c r="P18" s="20">
        <v>55</v>
      </c>
      <c r="Q18" s="61">
        <v>0.437</v>
      </c>
      <c r="R18" s="12">
        <v>11.169</v>
      </c>
      <c r="S18" s="15">
        <v>1.2</v>
      </c>
    </row>
    <row r="19" spans="1:19" x14ac:dyDescent="0.3">
      <c r="A19" s="78"/>
      <c r="B19" s="86"/>
      <c r="C19" s="10">
        <v>237</v>
      </c>
      <c r="D19" s="34">
        <v>15.6</v>
      </c>
      <c r="E19" s="20">
        <v>2</v>
      </c>
      <c r="F19" s="61">
        <v>0.39600000000000002</v>
      </c>
      <c r="G19" s="38">
        <v>16.7</v>
      </c>
      <c r="H19" s="12">
        <v>125.6</v>
      </c>
      <c r="I19" s="20">
        <v>11</v>
      </c>
      <c r="J19" s="12">
        <v>11.4</v>
      </c>
      <c r="K19" s="12">
        <v>82.8</v>
      </c>
      <c r="L19" s="34">
        <v>9.0359999999999996</v>
      </c>
      <c r="M19" s="12">
        <v>3.2</v>
      </c>
      <c r="N19" s="12">
        <v>173.8</v>
      </c>
      <c r="O19" s="20">
        <v>4</v>
      </c>
      <c r="P19" s="20">
        <v>32</v>
      </c>
      <c r="Q19" s="61">
        <v>0.17299999999999999</v>
      </c>
      <c r="R19" s="12">
        <v>4.7510000000000003</v>
      </c>
      <c r="S19" s="15">
        <v>0.8</v>
      </c>
    </row>
    <row r="20" spans="1:19" x14ac:dyDescent="0.3">
      <c r="A20" s="78"/>
      <c r="B20" s="86"/>
      <c r="C20" s="10">
        <v>269</v>
      </c>
      <c r="D20" s="34">
        <v>28.2</v>
      </c>
      <c r="E20" s="20">
        <v>1</v>
      </c>
      <c r="F20" s="61">
        <v>0.41099999999999998</v>
      </c>
      <c r="G20" s="38">
        <v>29.9</v>
      </c>
      <c r="H20" s="12">
        <v>234.8</v>
      </c>
      <c r="I20" s="20">
        <v>2</v>
      </c>
      <c r="J20" s="12">
        <v>117.4</v>
      </c>
      <c r="K20" s="12">
        <v>233.7</v>
      </c>
      <c r="L20" s="34">
        <v>11.869</v>
      </c>
      <c r="M20" s="12">
        <v>0.9</v>
      </c>
      <c r="N20" s="12">
        <v>227.3</v>
      </c>
      <c r="O20" s="20">
        <v>2</v>
      </c>
      <c r="P20" s="20">
        <v>25</v>
      </c>
      <c r="Q20" s="61">
        <v>0.109</v>
      </c>
      <c r="R20" s="12">
        <v>7.6609999999999996</v>
      </c>
      <c r="S20" s="15">
        <v>0</v>
      </c>
    </row>
    <row r="21" spans="1:19" ht="16.2" thickBot="1" x14ac:dyDescent="0.35">
      <c r="A21" s="79"/>
      <c r="B21" s="87"/>
      <c r="C21" s="30">
        <v>270</v>
      </c>
      <c r="D21" s="36">
        <v>14.3</v>
      </c>
      <c r="E21" s="22">
        <v>3</v>
      </c>
      <c r="F21" s="43">
        <v>0.56399999999999995</v>
      </c>
      <c r="G21" s="40">
        <v>8.5</v>
      </c>
      <c r="H21" s="13">
        <v>267.60000000000002</v>
      </c>
      <c r="I21" s="22">
        <v>1</v>
      </c>
      <c r="J21" s="74">
        <v>267.60000000000002</v>
      </c>
      <c r="K21" s="13">
        <v>267.60000000000002</v>
      </c>
      <c r="L21" s="36">
        <v>16.416</v>
      </c>
      <c r="M21" s="13">
        <v>0.4</v>
      </c>
      <c r="N21" s="13">
        <v>160</v>
      </c>
      <c r="O21" s="22">
        <v>2</v>
      </c>
      <c r="P21" s="22">
        <v>50</v>
      </c>
      <c r="Q21" s="43">
        <v>8.5999999999999993E-2</v>
      </c>
      <c r="R21" s="13">
        <v>6.9050000000000002</v>
      </c>
      <c r="S21" s="16">
        <v>6.1</v>
      </c>
    </row>
    <row r="22" spans="1:19" ht="16.05" customHeight="1" x14ac:dyDescent="0.3">
      <c r="A22" s="80" t="s">
        <v>22</v>
      </c>
      <c r="B22" s="83" t="s">
        <v>23</v>
      </c>
      <c r="C22" s="28">
        <v>37</v>
      </c>
      <c r="D22" s="33">
        <v>20.399999999999999</v>
      </c>
      <c r="E22" s="19">
        <v>3</v>
      </c>
      <c r="F22" s="41">
        <v>0.65400000000000003</v>
      </c>
      <c r="G22" s="37">
        <v>4.5999999999999996</v>
      </c>
      <c r="H22" s="11">
        <v>71.3</v>
      </c>
      <c r="I22" s="19">
        <v>12</v>
      </c>
      <c r="J22" s="11">
        <v>5.9</v>
      </c>
      <c r="K22" s="11">
        <v>18.5</v>
      </c>
      <c r="L22" s="33">
        <v>10.236000000000001</v>
      </c>
      <c r="M22" s="11">
        <v>0.4</v>
      </c>
      <c r="N22" s="11">
        <v>114.3</v>
      </c>
      <c r="O22" s="19">
        <v>2</v>
      </c>
      <c r="P22" s="19">
        <v>26</v>
      </c>
      <c r="Q22" s="41">
        <v>0</v>
      </c>
      <c r="R22" s="11">
        <v>5.0519999999999996</v>
      </c>
      <c r="S22" s="14">
        <v>11.9</v>
      </c>
    </row>
    <row r="23" spans="1:19" x14ac:dyDescent="0.3">
      <c r="A23" s="81"/>
      <c r="B23" s="84"/>
      <c r="C23" s="10">
        <v>38</v>
      </c>
      <c r="D23" s="34">
        <v>24.1</v>
      </c>
      <c r="E23" s="20">
        <v>5</v>
      </c>
      <c r="F23" s="61">
        <v>0.63600000000000001</v>
      </c>
      <c r="G23" s="38">
        <v>19.2</v>
      </c>
      <c r="H23" s="12">
        <v>148.9</v>
      </c>
      <c r="I23" s="20">
        <v>17</v>
      </c>
      <c r="J23" s="12">
        <v>8.8000000000000007</v>
      </c>
      <c r="K23" s="12">
        <v>41.5</v>
      </c>
      <c r="L23" s="34">
        <v>24.715</v>
      </c>
      <c r="M23" s="12">
        <v>7.2</v>
      </c>
      <c r="N23" s="12">
        <v>144.1</v>
      </c>
      <c r="O23" s="20">
        <v>11</v>
      </c>
      <c r="P23" s="20">
        <v>46</v>
      </c>
      <c r="Q23" s="61">
        <v>0.36699999999999999</v>
      </c>
      <c r="R23" s="12">
        <v>10.388999999999999</v>
      </c>
      <c r="S23" s="15">
        <v>2.8</v>
      </c>
    </row>
    <row r="24" spans="1:19" x14ac:dyDescent="0.3">
      <c r="A24" s="81"/>
      <c r="B24" s="84"/>
      <c r="C24" s="10">
        <v>39</v>
      </c>
      <c r="D24" s="34">
        <v>12.6</v>
      </c>
      <c r="E24" s="20">
        <v>3</v>
      </c>
      <c r="F24" s="61">
        <v>0.29199999999999998</v>
      </c>
      <c r="G24" s="38">
        <v>3.5</v>
      </c>
      <c r="H24" s="12">
        <v>114.5</v>
      </c>
      <c r="I24" s="20">
        <v>21</v>
      </c>
      <c r="J24" s="12">
        <v>5.5</v>
      </c>
      <c r="K24" s="12">
        <v>19.7</v>
      </c>
      <c r="L24" s="34">
        <v>19.120999999999999</v>
      </c>
      <c r="M24" s="12">
        <v>3.6</v>
      </c>
      <c r="N24" s="12">
        <v>142.4</v>
      </c>
      <c r="O24" s="20">
        <v>13</v>
      </c>
      <c r="P24" s="20">
        <v>45</v>
      </c>
      <c r="Q24" s="61">
        <v>0.61299999999999999</v>
      </c>
      <c r="R24" s="12">
        <v>6.665</v>
      </c>
      <c r="S24" s="15">
        <v>8.8000000000000007</v>
      </c>
    </row>
    <row r="25" spans="1:19" x14ac:dyDescent="0.3">
      <c r="A25" s="81"/>
      <c r="B25" s="84"/>
      <c r="C25" s="10">
        <v>40</v>
      </c>
      <c r="D25" s="34">
        <v>1.6</v>
      </c>
      <c r="E25" s="20">
        <v>2</v>
      </c>
      <c r="F25" s="61">
        <v>3.4000000000000002E-2</v>
      </c>
      <c r="G25" s="38">
        <v>6.7</v>
      </c>
      <c r="H25" s="12">
        <v>94.7</v>
      </c>
      <c r="I25" s="20">
        <v>9</v>
      </c>
      <c r="J25" s="12">
        <v>10.5</v>
      </c>
      <c r="K25" s="12">
        <v>31.4</v>
      </c>
      <c r="L25" s="34">
        <v>13.925000000000001</v>
      </c>
      <c r="M25" s="12">
        <v>12.9</v>
      </c>
      <c r="N25" s="12">
        <v>70.2</v>
      </c>
      <c r="O25" s="20">
        <v>7</v>
      </c>
      <c r="P25" s="20">
        <v>33</v>
      </c>
      <c r="Q25" s="61">
        <v>0.25600000000000001</v>
      </c>
      <c r="R25" s="12">
        <v>3.5259999999999998</v>
      </c>
      <c r="S25" s="15">
        <v>6.2</v>
      </c>
    </row>
    <row r="26" spans="1:19" x14ac:dyDescent="0.3">
      <c r="A26" s="81"/>
      <c r="B26" s="84"/>
      <c r="C26" s="10">
        <v>41</v>
      </c>
      <c r="D26" s="34">
        <v>9.3000000000000007</v>
      </c>
      <c r="E26" s="20">
        <v>3</v>
      </c>
      <c r="F26" s="61">
        <v>5.2999999999999999E-2</v>
      </c>
      <c r="G26" s="38">
        <v>7.2</v>
      </c>
      <c r="H26" s="12">
        <v>198.1</v>
      </c>
      <c r="I26" s="20">
        <v>11</v>
      </c>
      <c r="J26" s="12">
        <v>18</v>
      </c>
      <c r="K26" s="12">
        <v>93.2</v>
      </c>
      <c r="L26" s="34">
        <v>16.442</v>
      </c>
      <c r="M26" s="12">
        <v>1.2</v>
      </c>
      <c r="N26" s="12">
        <v>189.6</v>
      </c>
      <c r="O26" s="20">
        <v>6</v>
      </c>
      <c r="P26" s="20">
        <v>39</v>
      </c>
      <c r="Q26" s="61">
        <v>0.23200000000000001</v>
      </c>
      <c r="R26" s="12">
        <v>8.9220000000000006</v>
      </c>
      <c r="S26" s="15">
        <v>2.5</v>
      </c>
    </row>
    <row r="27" spans="1:19" x14ac:dyDescent="0.3">
      <c r="A27" s="81"/>
      <c r="B27" s="84"/>
      <c r="C27" s="10">
        <v>215</v>
      </c>
      <c r="D27" s="34">
        <v>10.8</v>
      </c>
      <c r="E27" s="20">
        <v>3</v>
      </c>
      <c r="F27" s="61">
        <v>0.20399999999999999</v>
      </c>
      <c r="G27" s="38">
        <v>22.3</v>
      </c>
      <c r="H27" s="12">
        <v>61.7</v>
      </c>
      <c r="I27" s="20">
        <v>4</v>
      </c>
      <c r="J27" s="12">
        <v>15.4</v>
      </c>
      <c r="K27" s="12">
        <v>25</v>
      </c>
      <c r="L27" s="34">
        <v>6.7789999999999999</v>
      </c>
      <c r="M27" s="12">
        <v>2.4</v>
      </c>
      <c r="N27" s="12">
        <v>218.8</v>
      </c>
      <c r="O27" s="20">
        <v>4</v>
      </c>
      <c r="P27" s="20">
        <v>28</v>
      </c>
      <c r="Q27" s="61">
        <v>0.14199999999999999</v>
      </c>
      <c r="R27" s="12">
        <v>2.7090000000000001</v>
      </c>
      <c r="S27" s="15">
        <v>4.0999999999999996</v>
      </c>
    </row>
    <row r="28" spans="1:19" x14ac:dyDescent="0.3">
      <c r="A28" s="81"/>
      <c r="B28" s="84"/>
      <c r="C28" s="10">
        <v>216</v>
      </c>
      <c r="D28" s="34">
        <v>11.7</v>
      </c>
      <c r="E28" s="20">
        <v>1</v>
      </c>
      <c r="F28" s="61">
        <v>0.379</v>
      </c>
      <c r="G28" s="38">
        <v>28.4</v>
      </c>
      <c r="H28" s="12">
        <v>45.6</v>
      </c>
      <c r="I28" s="20">
        <v>6</v>
      </c>
      <c r="J28" s="12">
        <v>7.6</v>
      </c>
      <c r="K28" s="12">
        <v>8.1</v>
      </c>
      <c r="L28" s="34">
        <v>5.2249999999999996</v>
      </c>
      <c r="M28" s="12">
        <v>1.7</v>
      </c>
      <c r="N28" s="12">
        <v>267.2</v>
      </c>
      <c r="O28" s="20">
        <v>2</v>
      </c>
      <c r="P28" s="20">
        <v>19</v>
      </c>
      <c r="Q28" s="61">
        <v>9.8000000000000004E-2</v>
      </c>
      <c r="R28" s="12">
        <v>3.9039999999999999</v>
      </c>
      <c r="S28" s="15">
        <v>11.8</v>
      </c>
    </row>
    <row r="29" spans="1:19" x14ac:dyDescent="0.3">
      <c r="A29" s="81"/>
      <c r="B29" s="84"/>
      <c r="C29" s="10">
        <v>217</v>
      </c>
      <c r="D29" s="34">
        <v>40</v>
      </c>
      <c r="E29" s="20">
        <v>4</v>
      </c>
      <c r="F29" s="61">
        <v>1.25</v>
      </c>
      <c r="G29" s="38">
        <v>42.1</v>
      </c>
      <c r="H29" s="12">
        <v>88</v>
      </c>
      <c r="I29" s="20">
        <v>14</v>
      </c>
      <c r="J29" s="12">
        <v>6.3</v>
      </c>
      <c r="K29" s="12">
        <v>6.4</v>
      </c>
      <c r="L29" s="34">
        <v>14.295999999999999</v>
      </c>
      <c r="M29" s="12">
        <v>1.4</v>
      </c>
      <c r="N29" s="12">
        <v>115.8</v>
      </c>
      <c r="O29" s="20">
        <v>4</v>
      </c>
      <c r="P29" s="20">
        <v>43</v>
      </c>
      <c r="Q29" s="61">
        <v>0.20200000000000001</v>
      </c>
      <c r="R29" s="12">
        <v>5.8550000000000004</v>
      </c>
      <c r="S29" s="15">
        <v>5.7</v>
      </c>
    </row>
    <row r="30" spans="1:19" x14ac:dyDescent="0.3">
      <c r="A30" s="81"/>
      <c r="B30" s="84"/>
      <c r="C30" s="10">
        <v>218</v>
      </c>
      <c r="D30" s="34">
        <v>10</v>
      </c>
      <c r="E30" s="20">
        <v>2</v>
      </c>
      <c r="F30" s="61">
        <v>0.15</v>
      </c>
      <c r="G30" s="38">
        <v>9.1999999999999993</v>
      </c>
      <c r="H30" s="12">
        <v>114.2</v>
      </c>
      <c r="I30" s="20">
        <v>8</v>
      </c>
      <c r="J30" s="12">
        <v>14.3</v>
      </c>
      <c r="K30" s="12">
        <v>67.400000000000006</v>
      </c>
      <c r="L30" s="34">
        <v>12.614000000000001</v>
      </c>
      <c r="M30" s="12">
        <v>3.6</v>
      </c>
      <c r="N30" s="12">
        <v>112</v>
      </c>
      <c r="O30" s="20">
        <v>6</v>
      </c>
      <c r="P30" s="20">
        <v>31</v>
      </c>
      <c r="Q30" s="61">
        <v>0.17599999999999999</v>
      </c>
      <c r="R30" s="12">
        <v>4.3540000000000001</v>
      </c>
      <c r="S30" s="15">
        <v>0.6</v>
      </c>
    </row>
    <row r="31" spans="1:19" x14ac:dyDescent="0.3">
      <c r="A31" s="81"/>
      <c r="B31" s="85"/>
      <c r="C31" s="29">
        <v>219</v>
      </c>
      <c r="D31" s="35">
        <v>11.5</v>
      </c>
      <c r="E31" s="21">
        <v>5</v>
      </c>
      <c r="F31" s="42">
        <v>0.246</v>
      </c>
      <c r="G31" s="39">
        <v>2.7</v>
      </c>
      <c r="H31" s="17">
        <v>91</v>
      </c>
      <c r="I31" s="21">
        <v>19</v>
      </c>
      <c r="J31" s="17">
        <v>4.8</v>
      </c>
      <c r="K31" s="17">
        <v>38</v>
      </c>
      <c r="L31" s="35">
        <v>22.353000000000002</v>
      </c>
      <c r="M31" s="17">
        <v>2</v>
      </c>
      <c r="N31" s="17">
        <v>188.6</v>
      </c>
      <c r="O31" s="21">
        <v>5</v>
      </c>
      <c r="P31" s="21">
        <v>54</v>
      </c>
      <c r="Q31" s="42">
        <v>0.29499999999999998</v>
      </c>
      <c r="R31" s="17">
        <v>10.819000000000001</v>
      </c>
      <c r="S31" s="18">
        <v>3.8</v>
      </c>
    </row>
    <row r="32" spans="1:19" ht="16.05" customHeight="1" x14ac:dyDescent="0.3">
      <c r="A32" s="81"/>
      <c r="B32" s="86" t="s">
        <v>24</v>
      </c>
      <c r="C32" s="10">
        <v>12</v>
      </c>
      <c r="D32" s="34">
        <v>26.6</v>
      </c>
      <c r="E32" s="20">
        <v>4</v>
      </c>
      <c r="F32" s="61">
        <v>0.97</v>
      </c>
      <c r="G32" s="38">
        <v>6.6</v>
      </c>
      <c r="H32" s="12">
        <v>185.1</v>
      </c>
      <c r="I32" s="20">
        <v>8</v>
      </c>
      <c r="J32" s="12">
        <v>23.1</v>
      </c>
      <c r="K32" s="12">
        <v>136.6</v>
      </c>
      <c r="L32" s="34">
        <v>16.344000000000001</v>
      </c>
      <c r="M32" s="12">
        <v>1.5</v>
      </c>
      <c r="N32" s="12">
        <v>190.3</v>
      </c>
      <c r="O32" s="20">
        <v>5</v>
      </c>
      <c r="P32" s="20">
        <v>43</v>
      </c>
      <c r="Q32" s="61">
        <v>0.16200000000000001</v>
      </c>
      <c r="R32" s="12">
        <v>7.3840000000000003</v>
      </c>
      <c r="S32" s="15">
        <v>0</v>
      </c>
    </row>
    <row r="33" spans="1:19" x14ac:dyDescent="0.3">
      <c r="A33" s="81"/>
      <c r="B33" s="86"/>
      <c r="C33" s="10">
        <v>13</v>
      </c>
      <c r="D33" s="34">
        <v>43.9</v>
      </c>
      <c r="E33" s="20">
        <v>9</v>
      </c>
      <c r="F33" s="61">
        <v>2.766</v>
      </c>
      <c r="G33" s="38">
        <v>35.4</v>
      </c>
      <c r="H33" s="12">
        <v>106.7</v>
      </c>
      <c r="I33" s="20">
        <v>11</v>
      </c>
      <c r="J33" s="12">
        <v>9.6999999999999993</v>
      </c>
      <c r="K33" s="12">
        <v>60.1</v>
      </c>
      <c r="L33" s="34">
        <v>19.655000000000001</v>
      </c>
      <c r="M33" s="12">
        <v>3</v>
      </c>
      <c r="N33" s="12">
        <v>149.4</v>
      </c>
      <c r="O33" s="20">
        <v>7</v>
      </c>
      <c r="P33" s="20">
        <v>47</v>
      </c>
      <c r="Q33" s="61">
        <v>0.311</v>
      </c>
      <c r="R33" s="12">
        <v>8.4610000000000003</v>
      </c>
      <c r="S33" s="15">
        <v>3.8</v>
      </c>
    </row>
    <row r="34" spans="1:19" x14ac:dyDescent="0.3">
      <c r="A34" s="81"/>
      <c r="B34" s="86"/>
      <c r="C34" s="10">
        <v>14</v>
      </c>
      <c r="D34" s="34">
        <v>55.5</v>
      </c>
      <c r="E34" s="20">
        <v>8</v>
      </c>
      <c r="F34" s="61">
        <v>2.8180000000000001</v>
      </c>
      <c r="G34" s="38">
        <v>36.700000000000003</v>
      </c>
      <c r="H34" s="12">
        <v>101.9</v>
      </c>
      <c r="I34" s="20">
        <v>19</v>
      </c>
      <c r="J34" s="12">
        <v>5.4</v>
      </c>
      <c r="K34" s="12">
        <v>7.4</v>
      </c>
      <c r="L34" s="34">
        <v>18.635000000000002</v>
      </c>
      <c r="M34" s="12">
        <v>0.8</v>
      </c>
      <c r="N34" s="12">
        <v>126.8</v>
      </c>
      <c r="O34" s="20">
        <v>2</v>
      </c>
      <c r="P34" s="20">
        <v>47</v>
      </c>
      <c r="Q34" s="61">
        <v>5.3999999999999999E-2</v>
      </c>
      <c r="R34" s="12">
        <v>8.9390000000000001</v>
      </c>
      <c r="S34" s="15">
        <v>5.8</v>
      </c>
    </row>
    <row r="35" spans="1:19" x14ac:dyDescent="0.3">
      <c r="A35" s="81"/>
      <c r="B35" s="86"/>
      <c r="C35" s="10">
        <v>116</v>
      </c>
      <c r="D35" s="34">
        <v>47.7</v>
      </c>
      <c r="E35" s="20">
        <v>4</v>
      </c>
      <c r="F35" s="61">
        <v>1.113</v>
      </c>
      <c r="G35" s="38">
        <v>31.8</v>
      </c>
      <c r="H35" s="12">
        <v>240.7</v>
      </c>
      <c r="I35" s="20">
        <v>8</v>
      </c>
      <c r="J35" s="12">
        <v>30.1</v>
      </c>
      <c r="K35" s="12">
        <v>215.6</v>
      </c>
      <c r="L35" s="34">
        <v>18.777000000000001</v>
      </c>
      <c r="M35" s="12">
        <v>3.9</v>
      </c>
      <c r="N35" s="12">
        <v>113.4</v>
      </c>
      <c r="O35" s="20">
        <v>12</v>
      </c>
      <c r="P35" s="20">
        <v>41</v>
      </c>
      <c r="Q35" s="61">
        <v>0.58399999999999996</v>
      </c>
      <c r="R35" s="12">
        <v>6.0869999999999997</v>
      </c>
      <c r="S35" s="15">
        <v>4.3</v>
      </c>
    </row>
    <row r="36" spans="1:19" x14ac:dyDescent="0.3">
      <c r="A36" s="81"/>
      <c r="B36" s="86"/>
      <c r="C36" s="10">
        <v>117</v>
      </c>
      <c r="D36" s="34">
        <v>31</v>
      </c>
      <c r="E36" s="20">
        <v>8</v>
      </c>
      <c r="F36" s="61">
        <v>0.81100000000000005</v>
      </c>
      <c r="G36" s="38">
        <v>12.2</v>
      </c>
      <c r="H36" s="12">
        <v>92.9</v>
      </c>
      <c r="I36" s="20">
        <v>7</v>
      </c>
      <c r="J36" s="12">
        <v>13.3</v>
      </c>
      <c r="K36" s="12">
        <v>46.5</v>
      </c>
      <c r="L36" s="34">
        <v>11.558999999999999</v>
      </c>
      <c r="M36" s="12">
        <v>1.2</v>
      </c>
      <c r="N36" s="12">
        <v>109.6</v>
      </c>
      <c r="O36" s="20">
        <v>5</v>
      </c>
      <c r="P36" s="20">
        <v>26</v>
      </c>
      <c r="Q36" s="61">
        <v>0.14599999999999999</v>
      </c>
      <c r="R36" s="12">
        <v>4.4420000000000002</v>
      </c>
      <c r="S36" s="15">
        <v>5.7</v>
      </c>
    </row>
    <row r="37" spans="1:19" x14ac:dyDescent="0.3">
      <c r="A37" s="81"/>
      <c r="B37" s="86"/>
      <c r="C37" s="10">
        <v>151</v>
      </c>
      <c r="D37" s="34">
        <v>0.8</v>
      </c>
      <c r="E37" s="20">
        <v>1</v>
      </c>
      <c r="F37" s="61">
        <v>0</v>
      </c>
      <c r="G37" s="38">
        <v>5.6</v>
      </c>
      <c r="H37" s="12">
        <v>73.7</v>
      </c>
      <c r="I37" s="20">
        <v>5</v>
      </c>
      <c r="J37" s="12">
        <v>14.7</v>
      </c>
      <c r="K37" s="12">
        <v>43.2</v>
      </c>
      <c r="L37" s="34">
        <v>18.170999999999999</v>
      </c>
      <c r="M37" s="12">
        <v>1.7</v>
      </c>
      <c r="N37" s="12">
        <v>152.30000000000001</v>
      </c>
      <c r="O37" s="20">
        <v>5</v>
      </c>
      <c r="P37" s="20">
        <v>60</v>
      </c>
      <c r="Q37" s="61">
        <v>0.182</v>
      </c>
      <c r="R37" s="12">
        <v>6.52</v>
      </c>
      <c r="S37" s="15">
        <v>1.8</v>
      </c>
    </row>
    <row r="38" spans="1:19" x14ac:dyDescent="0.3">
      <c r="A38" s="81"/>
      <c r="B38" s="86"/>
      <c r="C38" s="10">
        <v>152</v>
      </c>
      <c r="D38" s="34">
        <v>10.3</v>
      </c>
      <c r="E38" s="20">
        <v>1</v>
      </c>
      <c r="F38" s="61">
        <v>0.183</v>
      </c>
      <c r="G38" s="38">
        <v>15.1</v>
      </c>
      <c r="H38" s="12">
        <v>40.6</v>
      </c>
      <c r="I38" s="20">
        <v>6</v>
      </c>
      <c r="J38" s="12">
        <v>6.8</v>
      </c>
      <c r="K38" s="12">
        <v>12.7</v>
      </c>
      <c r="L38" s="34">
        <v>13.363</v>
      </c>
      <c r="M38" s="12">
        <v>2.2999999999999998</v>
      </c>
      <c r="N38" s="12">
        <v>76.7</v>
      </c>
      <c r="O38" s="20">
        <v>7</v>
      </c>
      <c r="P38" s="20">
        <v>30</v>
      </c>
      <c r="Q38" s="61">
        <v>0.379</v>
      </c>
      <c r="R38" s="12">
        <v>3.9169999999999998</v>
      </c>
      <c r="S38" s="15">
        <v>2.4</v>
      </c>
    </row>
    <row r="39" spans="1:19" x14ac:dyDescent="0.3">
      <c r="A39" s="81"/>
      <c r="B39" s="86"/>
      <c r="C39" s="10">
        <v>153</v>
      </c>
      <c r="D39" s="34">
        <v>5</v>
      </c>
      <c r="E39" s="20">
        <v>1</v>
      </c>
      <c r="F39" s="61">
        <v>0.107</v>
      </c>
      <c r="G39" s="38">
        <v>10</v>
      </c>
      <c r="H39" s="12">
        <v>115.6</v>
      </c>
      <c r="I39" s="20">
        <v>15</v>
      </c>
      <c r="J39" s="12">
        <v>7.7</v>
      </c>
      <c r="K39" s="12">
        <v>24.9</v>
      </c>
      <c r="L39" s="34">
        <v>13.518000000000001</v>
      </c>
      <c r="M39" s="12">
        <v>12.3</v>
      </c>
      <c r="N39" s="12">
        <v>105.3</v>
      </c>
      <c r="O39" s="20">
        <v>6</v>
      </c>
      <c r="P39" s="20">
        <v>35</v>
      </c>
      <c r="Q39" s="61">
        <v>0.188</v>
      </c>
      <c r="R39" s="12">
        <v>4.0220000000000002</v>
      </c>
      <c r="S39" s="15">
        <v>4.8</v>
      </c>
    </row>
    <row r="40" spans="1:19" x14ac:dyDescent="0.3">
      <c r="A40" s="81"/>
      <c r="B40" s="86"/>
      <c r="C40" s="10">
        <v>251</v>
      </c>
      <c r="D40" s="34">
        <v>7.5</v>
      </c>
      <c r="E40" s="20">
        <v>1</v>
      </c>
      <c r="F40" s="61">
        <v>7.0999999999999994E-2</v>
      </c>
      <c r="G40" s="38">
        <v>9.1</v>
      </c>
      <c r="H40" s="12">
        <v>112.1</v>
      </c>
      <c r="I40" s="20">
        <v>14</v>
      </c>
      <c r="J40" s="12">
        <v>8</v>
      </c>
      <c r="K40" s="12">
        <v>2.4</v>
      </c>
      <c r="L40" s="34">
        <v>14.673</v>
      </c>
      <c r="M40" s="12">
        <v>4.5</v>
      </c>
      <c r="N40" s="12">
        <v>129</v>
      </c>
      <c r="O40" s="20">
        <v>9</v>
      </c>
      <c r="P40" s="20">
        <v>41</v>
      </c>
      <c r="Q40" s="61">
        <v>0.29199999999999998</v>
      </c>
      <c r="R40" s="12">
        <v>6.1950000000000003</v>
      </c>
      <c r="S40" s="15">
        <v>9.4</v>
      </c>
    </row>
    <row r="41" spans="1:19" ht="16.2" thickBot="1" x14ac:dyDescent="0.35">
      <c r="A41" s="82"/>
      <c r="B41" s="87"/>
      <c r="C41" s="30">
        <v>284</v>
      </c>
      <c r="D41" s="36">
        <v>7.7</v>
      </c>
      <c r="E41" s="22">
        <v>1</v>
      </c>
      <c r="F41" s="43">
        <v>0</v>
      </c>
      <c r="G41" s="40">
        <v>9.1999999999999993</v>
      </c>
      <c r="H41" s="13">
        <v>95</v>
      </c>
      <c r="I41" s="22">
        <v>7</v>
      </c>
      <c r="J41" s="13">
        <v>13.6</v>
      </c>
      <c r="K41" s="13">
        <v>8</v>
      </c>
      <c r="L41" s="36">
        <v>14.253</v>
      </c>
      <c r="M41" s="13">
        <v>0.3</v>
      </c>
      <c r="N41" s="13">
        <v>178.4</v>
      </c>
      <c r="O41" s="22">
        <v>1</v>
      </c>
      <c r="P41" s="22">
        <v>53</v>
      </c>
      <c r="Q41" s="43">
        <v>3.5999999999999997E-2</v>
      </c>
      <c r="R41" s="13">
        <v>7.0110000000000001</v>
      </c>
      <c r="S41" s="16">
        <v>3.9</v>
      </c>
    </row>
  </sheetData>
  <mergeCells count="6">
    <mergeCell ref="A2:A21"/>
    <mergeCell ref="A22:A41"/>
    <mergeCell ref="B2:B11"/>
    <mergeCell ref="B22:B31"/>
    <mergeCell ref="B12:B21"/>
    <mergeCell ref="B32:B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6594-CA91-8F45-A200-5C7C39F7899A}">
  <dimension ref="A1:AI41"/>
  <sheetViews>
    <sheetView tabSelected="1" topLeftCell="A2" workbookViewId="0">
      <selection activeCell="A2" sqref="A2:A21"/>
    </sheetView>
  </sheetViews>
  <sheetFormatPr baseColWidth="10" defaultColWidth="10.796875" defaultRowHeight="15.6" x14ac:dyDescent="0.3"/>
  <cols>
    <col min="1" max="2" width="10.796875" style="9"/>
    <col min="3" max="3" width="10.796875" style="10"/>
    <col min="4" max="4" width="14.19921875" style="9" customWidth="1"/>
    <col min="5" max="5" width="12.296875" style="9" customWidth="1"/>
    <col min="6" max="6" width="14.5" style="9" customWidth="1"/>
    <col min="7" max="16384" width="10.796875" style="9"/>
  </cols>
  <sheetData>
    <row r="1" spans="1:35" s="10" customFormat="1" ht="57" customHeight="1" thickBot="1" x14ac:dyDescent="0.35">
      <c r="A1" s="44" t="s">
        <v>1</v>
      </c>
      <c r="B1" s="44" t="s">
        <v>0</v>
      </c>
      <c r="C1" s="44" t="s">
        <v>2</v>
      </c>
      <c r="D1" s="63" t="s">
        <v>45</v>
      </c>
      <c r="E1" s="62" t="s">
        <v>6</v>
      </c>
      <c r="F1" s="65" t="s">
        <v>7</v>
      </c>
      <c r="H1" s="23"/>
      <c r="J1" s="26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ht="16.05" customHeight="1" x14ac:dyDescent="0.3">
      <c r="A2" s="77" t="s">
        <v>49</v>
      </c>
      <c r="B2" s="83" t="s">
        <v>46</v>
      </c>
      <c r="C2" s="28">
        <v>17</v>
      </c>
      <c r="D2" s="33">
        <v>226.9</v>
      </c>
      <c r="E2" s="19">
        <v>35</v>
      </c>
      <c r="F2" s="14">
        <v>6.5</v>
      </c>
      <c r="H2" s="1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78"/>
      <c r="B3" s="84"/>
      <c r="C3" s="10">
        <v>18</v>
      </c>
      <c r="D3" s="34">
        <v>213.6</v>
      </c>
      <c r="E3" s="20">
        <v>40</v>
      </c>
      <c r="F3" s="15">
        <v>5.3</v>
      </c>
      <c r="H3" s="1"/>
      <c r="I3" s="2"/>
      <c r="J3" s="2"/>
    </row>
    <row r="4" spans="1:35" x14ac:dyDescent="0.3">
      <c r="A4" s="78"/>
      <c r="B4" s="84"/>
      <c r="C4" s="10">
        <v>124</v>
      </c>
      <c r="D4" s="34">
        <v>209.3</v>
      </c>
      <c r="E4" s="20">
        <v>15</v>
      </c>
      <c r="F4" s="15">
        <v>14</v>
      </c>
      <c r="H4" s="1"/>
      <c r="I4" s="2"/>
      <c r="J4" s="2"/>
    </row>
    <row r="5" spans="1:35" x14ac:dyDescent="0.3">
      <c r="A5" s="78"/>
      <c r="B5" s="84"/>
      <c r="C5" s="10">
        <v>125</v>
      </c>
      <c r="D5" s="34">
        <v>174.8</v>
      </c>
      <c r="E5" s="20">
        <v>12</v>
      </c>
      <c r="F5" s="15">
        <v>14.6</v>
      </c>
      <c r="H5" s="1"/>
      <c r="I5" s="2"/>
      <c r="J5" s="2"/>
    </row>
    <row r="6" spans="1:35" x14ac:dyDescent="0.3">
      <c r="A6" s="78"/>
      <c r="B6" s="84"/>
      <c r="C6" s="10">
        <v>126</v>
      </c>
      <c r="D6" s="34">
        <v>183.9</v>
      </c>
      <c r="E6" s="20">
        <v>22</v>
      </c>
      <c r="F6" s="15">
        <v>8.4</v>
      </c>
      <c r="H6" s="1"/>
      <c r="I6" s="2"/>
      <c r="J6" s="2"/>
    </row>
    <row r="7" spans="1:35" x14ac:dyDescent="0.3">
      <c r="A7" s="78"/>
      <c r="B7" s="84"/>
      <c r="C7" s="10">
        <v>167</v>
      </c>
      <c r="D7" s="34">
        <v>184.5</v>
      </c>
      <c r="E7" s="20">
        <v>28</v>
      </c>
      <c r="F7" s="15">
        <v>6.6</v>
      </c>
      <c r="H7" s="1"/>
      <c r="I7" s="2"/>
      <c r="J7" s="2"/>
    </row>
    <row r="8" spans="1:35" x14ac:dyDescent="0.3">
      <c r="A8" s="78"/>
      <c r="B8" s="84"/>
      <c r="C8" s="10">
        <v>168</v>
      </c>
      <c r="D8" s="34">
        <v>202.4</v>
      </c>
      <c r="E8" s="20">
        <v>25</v>
      </c>
      <c r="F8" s="15">
        <v>8.1</v>
      </c>
      <c r="H8" s="1"/>
      <c r="I8" s="2"/>
      <c r="J8" s="2"/>
    </row>
    <row r="9" spans="1:35" x14ac:dyDescent="0.3">
      <c r="A9" s="78"/>
      <c r="B9" s="84"/>
      <c r="C9" s="10">
        <v>169</v>
      </c>
      <c r="D9" s="34">
        <v>248.3</v>
      </c>
      <c r="E9" s="20">
        <v>20</v>
      </c>
      <c r="F9" s="15">
        <v>12.4</v>
      </c>
      <c r="H9" s="1"/>
      <c r="I9" s="2"/>
      <c r="J9" s="2"/>
    </row>
    <row r="10" spans="1:35" x14ac:dyDescent="0.3">
      <c r="A10" s="78"/>
      <c r="B10" s="84"/>
      <c r="C10" s="10">
        <v>259</v>
      </c>
      <c r="D10" s="34">
        <v>167.9</v>
      </c>
      <c r="E10" s="20">
        <v>32</v>
      </c>
      <c r="F10" s="15">
        <v>5.2</v>
      </c>
      <c r="H10" s="1"/>
      <c r="I10" s="2"/>
      <c r="J10" s="2"/>
    </row>
    <row r="11" spans="1:35" x14ac:dyDescent="0.3">
      <c r="A11" s="78"/>
      <c r="B11" s="85"/>
      <c r="C11" s="29">
        <v>260</v>
      </c>
      <c r="D11" s="35">
        <v>161.30000000000001</v>
      </c>
      <c r="E11" s="21">
        <v>16</v>
      </c>
      <c r="F11" s="18">
        <v>10.1</v>
      </c>
      <c r="H11" s="1"/>
      <c r="I11" s="2"/>
      <c r="J11" s="2"/>
    </row>
    <row r="12" spans="1:35" ht="16.05" customHeight="1" x14ac:dyDescent="0.3">
      <c r="A12" s="78"/>
      <c r="B12" s="86" t="s">
        <v>47</v>
      </c>
      <c r="C12" s="10">
        <v>57</v>
      </c>
      <c r="D12" s="34">
        <v>147.80000000000001</v>
      </c>
      <c r="E12" s="20">
        <v>41</v>
      </c>
      <c r="F12" s="15">
        <v>3.6</v>
      </c>
      <c r="H12" s="1"/>
      <c r="I12" s="2"/>
      <c r="J12" s="2"/>
    </row>
    <row r="13" spans="1:35" x14ac:dyDescent="0.3">
      <c r="A13" s="78"/>
      <c r="B13" s="86"/>
      <c r="C13" s="10">
        <v>58</v>
      </c>
      <c r="D13" s="34">
        <v>103.7</v>
      </c>
      <c r="E13" s="20">
        <v>36</v>
      </c>
      <c r="F13" s="15">
        <v>2.9</v>
      </c>
      <c r="H13" s="1"/>
      <c r="I13" s="2"/>
      <c r="J13" s="2"/>
    </row>
    <row r="14" spans="1:35" x14ac:dyDescent="0.3">
      <c r="A14" s="78"/>
      <c r="B14" s="86"/>
      <c r="C14" s="10">
        <v>59</v>
      </c>
      <c r="D14" s="34">
        <v>112.8</v>
      </c>
      <c r="E14" s="20">
        <v>39</v>
      </c>
      <c r="F14" s="15">
        <v>2.9</v>
      </c>
    </row>
    <row r="15" spans="1:35" x14ac:dyDescent="0.3">
      <c r="A15" s="78"/>
      <c r="B15" s="86"/>
      <c r="C15" s="10">
        <v>134</v>
      </c>
      <c r="D15" s="34">
        <v>106.4</v>
      </c>
      <c r="E15" s="20">
        <v>31</v>
      </c>
      <c r="F15" s="15">
        <v>3.4</v>
      </c>
    </row>
    <row r="16" spans="1:35" x14ac:dyDescent="0.3">
      <c r="A16" s="78"/>
      <c r="B16" s="86"/>
      <c r="C16" s="10">
        <v>135</v>
      </c>
      <c r="D16" s="34">
        <v>174</v>
      </c>
      <c r="E16" s="20">
        <v>32</v>
      </c>
      <c r="F16" s="15">
        <v>5.4</v>
      </c>
    </row>
    <row r="17" spans="1:10" x14ac:dyDescent="0.3">
      <c r="A17" s="78"/>
      <c r="B17" s="86"/>
      <c r="C17" s="10">
        <v>235</v>
      </c>
      <c r="D17" s="34">
        <v>195.2</v>
      </c>
      <c r="E17" s="20">
        <v>35</v>
      </c>
      <c r="F17" s="15">
        <v>5.6</v>
      </c>
    </row>
    <row r="18" spans="1:10" x14ac:dyDescent="0.3">
      <c r="A18" s="78"/>
      <c r="B18" s="86"/>
      <c r="C18" s="10">
        <v>236</v>
      </c>
      <c r="D18" s="34">
        <v>167.9</v>
      </c>
      <c r="E18" s="20">
        <v>40</v>
      </c>
      <c r="F18" s="15">
        <v>4.2</v>
      </c>
    </row>
    <row r="19" spans="1:10" x14ac:dyDescent="0.3">
      <c r="A19" s="78"/>
      <c r="B19" s="86"/>
      <c r="C19" s="10">
        <v>237</v>
      </c>
      <c r="D19" s="34">
        <v>171.7</v>
      </c>
      <c r="E19" s="20">
        <v>45</v>
      </c>
      <c r="F19" s="15">
        <v>3.8</v>
      </c>
    </row>
    <row r="20" spans="1:10" x14ac:dyDescent="0.3">
      <c r="A20" s="78"/>
      <c r="B20" s="86"/>
      <c r="C20" s="10">
        <v>269</v>
      </c>
      <c r="D20" s="34">
        <v>145.19999999999999</v>
      </c>
      <c r="E20" s="20">
        <v>29</v>
      </c>
      <c r="F20" s="15">
        <v>5</v>
      </c>
    </row>
    <row r="21" spans="1:10" ht="16.2" thickBot="1" x14ac:dyDescent="0.35">
      <c r="A21" s="79"/>
      <c r="B21" s="87"/>
      <c r="C21" s="30">
        <v>270</v>
      </c>
      <c r="D21" s="36">
        <v>163.69999999999999</v>
      </c>
      <c r="E21" s="22">
        <v>38</v>
      </c>
      <c r="F21" s="16">
        <v>4.3</v>
      </c>
    </row>
    <row r="22" spans="1:10" ht="16.05" customHeight="1" x14ac:dyDescent="0.3">
      <c r="A22" s="80" t="s">
        <v>48</v>
      </c>
      <c r="B22" s="83" t="s">
        <v>46</v>
      </c>
      <c r="C22" s="28">
        <v>37</v>
      </c>
      <c r="D22" s="33">
        <v>214.6</v>
      </c>
      <c r="E22" s="19">
        <v>35</v>
      </c>
      <c r="F22" s="14">
        <v>6.1</v>
      </c>
      <c r="H22" s="1"/>
      <c r="I22" s="2"/>
      <c r="J22" s="2"/>
    </row>
    <row r="23" spans="1:10" x14ac:dyDescent="0.3">
      <c r="A23" s="81"/>
      <c r="B23" s="84"/>
      <c r="C23" s="10">
        <v>38</v>
      </c>
      <c r="D23" s="34">
        <v>179.9</v>
      </c>
      <c r="E23" s="20">
        <v>41</v>
      </c>
      <c r="F23" s="15">
        <v>4.4000000000000004</v>
      </c>
      <c r="H23" s="1"/>
      <c r="I23" s="2"/>
      <c r="J23" s="2"/>
    </row>
    <row r="24" spans="1:10" x14ac:dyDescent="0.3">
      <c r="A24" s="81"/>
      <c r="B24" s="84"/>
      <c r="C24" s="10">
        <v>39</v>
      </c>
      <c r="D24" s="34">
        <v>153.6</v>
      </c>
      <c r="E24" s="20">
        <v>32</v>
      </c>
      <c r="F24" s="15">
        <v>4.8</v>
      </c>
      <c r="H24" s="1"/>
      <c r="I24" s="2"/>
      <c r="J24" s="2"/>
    </row>
    <row r="25" spans="1:10" x14ac:dyDescent="0.3">
      <c r="A25" s="81"/>
      <c r="B25" s="84"/>
      <c r="C25" s="10">
        <v>40</v>
      </c>
      <c r="D25" s="34">
        <v>196.1</v>
      </c>
      <c r="E25" s="20">
        <v>52</v>
      </c>
      <c r="F25" s="15">
        <v>3.8</v>
      </c>
      <c r="H25" s="1"/>
      <c r="I25" s="2"/>
      <c r="J25" s="2"/>
    </row>
    <row r="26" spans="1:10" x14ac:dyDescent="0.3">
      <c r="A26" s="81"/>
      <c r="B26" s="84"/>
      <c r="C26" s="10">
        <v>41</v>
      </c>
      <c r="D26" s="34">
        <v>216.8</v>
      </c>
      <c r="E26" s="20">
        <v>33</v>
      </c>
      <c r="F26" s="15">
        <v>6.6</v>
      </c>
      <c r="H26" s="1"/>
      <c r="I26" s="2"/>
      <c r="J26" s="2"/>
    </row>
    <row r="27" spans="1:10" x14ac:dyDescent="0.3">
      <c r="A27" s="81"/>
      <c r="B27" s="84"/>
      <c r="C27" s="10">
        <v>215</v>
      </c>
      <c r="D27" s="34">
        <v>177</v>
      </c>
      <c r="E27" s="20">
        <v>52</v>
      </c>
      <c r="F27" s="15">
        <v>3.4</v>
      </c>
      <c r="H27" s="1"/>
      <c r="I27" s="2"/>
      <c r="J27" s="2"/>
    </row>
    <row r="28" spans="1:10" x14ac:dyDescent="0.3">
      <c r="A28" s="81"/>
      <c r="B28" s="84"/>
      <c r="C28" s="10">
        <v>216</v>
      </c>
      <c r="D28" s="34">
        <v>205.8</v>
      </c>
      <c r="E28" s="20">
        <v>46</v>
      </c>
      <c r="F28" s="15">
        <v>4.5</v>
      </c>
      <c r="H28" s="1"/>
      <c r="I28" s="2"/>
      <c r="J28" s="2"/>
    </row>
    <row r="29" spans="1:10" x14ac:dyDescent="0.3">
      <c r="A29" s="81"/>
      <c r="B29" s="84"/>
      <c r="C29" s="10">
        <v>217</v>
      </c>
      <c r="D29" s="34">
        <v>183.8</v>
      </c>
      <c r="E29" s="20">
        <v>31</v>
      </c>
      <c r="F29" s="15">
        <v>5.9</v>
      </c>
      <c r="H29" s="1"/>
      <c r="I29" s="2"/>
      <c r="J29" s="2"/>
    </row>
    <row r="30" spans="1:10" x14ac:dyDescent="0.3">
      <c r="A30" s="81"/>
      <c r="B30" s="84"/>
      <c r="C30" s="10">
        <v>218</v>
      </c>
      <c r="D30" s="34">
        <v>152.69999999999999</v>
      </c>
      <c r="E30" s="20">
        <v>28</v>
      </c>
      <c r="F30" s="15">
        <v>5.5</v>
      </c>
      <c r="H30" s="1"/>
      <c r="I30" s="2"/>
      <c r="J30" s="2"/>
    </row>
    <row r="31" spans="1:10" x14ac:dyDescent="0.3">
      <c r="A31" s="81"/>
      <c r="B31" s="85"/>
      <c r="C31" s="29">
        <v>219</v>
      </c>
      <c r="D31" s="35">
        <v>154</v>
      </c>
      <c r="E31" s="21">
        <v>21</v>
      </c>
      <c r="F31" s="18">
        <v>7.3</v>
      </c>
      <c r="H31" s="1"/>
      <c r="I31" s="2"/>
      <c r="J31" s="2"/>
    </row>
    <row r="32" spans="1:10" ht="16.05" customHeight="1" x14ac:dyDescent="0.3">
      <c r="A32" s="81"/>
      <c r="B32" s="86" t="s">
        <v>47</v>
      </c>
      <c r="C32" s="10">
        <v>12</v>
      </c>
      <c r="D32" s="34">
        <v>131.69999999999999</v>
      </c>
      <c r="E32" s="20">
        <v>47</v>
      </c>
      <c r="F32" s="15">
        <v>2.8</v>
      </c>
    </row>
    <row r="33" spans="1:6" x14ac:dyDescent="0.3">
      <c r="A33" s="81"/>
      <c r="B33" s="86"/>
      <c r="C33" s="10">
        <v>13</v>
      </c>
      <c r="D33" s="34">
        <v>221.9</v>
      </c>
      <c r="E33" s="20">
        <v>47</v>
      </c>
      <c r="F33" s="15">
        <v>4.7</v>
      </c>
    </row>
    <row r="34" spans="1:6" x14ac:dyDescent="0.3">
      <c r="A34" s="81"/>
      <c r="B34" s="86"/>
      <c r="C34" s="10">
        <v>14</v>
      </c>
      <c r="D34" s="34">
        <v>164.9</v>
      </c>
      <c r="E34" s="20">
        <v>51</v>
      </c>
      <c r="F34" s="15">
        <v>3.2</v>
      </c>
    </row>
    <row r="35" spans="1:6" x14ac:dyDescent="0.3">
      <c r="A35" s="81"/>
      <c r="B35" s="86"/>
      <c r="C35" s="10">
        <v>116</v>
      </c>
      <c r="D35" s="34">
        <v>175</v>
      </c>
      <c r="E35" s="20">
        <v>23</v>
      </c>
      <c r="F35" s="15">
        <v>7.6</v>
      </c>
    </row>
    <row r="36" spans="1:6" x14ac:dyDescent="0.3">
      <c r="A36" s="81"/>
      <c r="B36" s="86"/>
      <c r="C36" s="10">
        <v>117</v>
      </c>
      <c r="D36" s="34">
        <v>159.30000000000001</v>
      </c>
      <c r="E36" s="20">
        <v>22</v>
      </c>
      <c r="F36" s="15">
        <v>7.2</v>
      </c>
    </row>
    <row r="37" spans="1:6" x14ac:dyDescent="0.3">
      <c r="A37" s="81"/>
      <c r="B37" s="86"/>
      <c r="C37" s="10">
        <v>151</v>
      </c>
      <c r="D37" s="34">
        <v>108.1</v>
      </c>
      <c r="E37" s="20">
        <v>81</v>
      </c>
      <c r="F37" s="15">
        <v>1.3</v>
      </c>
    </row>
    <row r="38" spans="1:6" x14ac:dyDescent="0.3">
      <c r="A38" s="81"/>
      <c r="B38" s="86"/>
      <c r="C38" s="10">
        <v>152</v>
      </c>
      <c r="D38" s="34">
        <v>111.2</v>
      </c>
      <c r="E38" s="20">
        <v>68</v>
      </c>
      <c r="F38" s="15">
        <v>1.6</v>
      </c>
    </row>
    <row r="39" spans="1:6" x14ac:dyDescent="0.3">
      <c r="A39" s="81"/>
      <c r="B39" s="86"/>
      <c r="C39" s="10">
        <v>153</v>
      </c>
      <c r="D39" s="34">
        <v>158.80000000000001</v>
      </c>
      <c r="E39" s="20">
        <v>41</v>
      </c>
      <c r="F39" s="15">
        <v>3.9</v>
      </c>
    </row>
    <row r="40" spans="1:6" x14ac:dyDescent="0.3">
      <c r="A40" s="81"/>
      <c r="B40" s="86"/>
      <c r="C40" s="10">
        <v>251</v>
      </c>
      <c r="D40" s="34">
        <v>157.69999999999999</v>
      </c>
      <c r="E40" s="20">
        <v>28</v>
      </c>
      <c r="F40" s="15">
        <v>5.6</v>
      </c>
    </row>
    <row r="41" spans="1:6" ht="16.2" thickBot="1" x14ac:dyDescent="0.35">
      <c r="A41" s="82"/>
      <c r="B41" s="87"/>
      <c r="C41" s="30">
        <v>284</v>
      </c>
      <c r="D41" s="36">
        <v>169</v>
      </c>
      <c r="E41" s="22">
        <v>41</v>
      </c>
      <c r="F41" s="16">
        <v>4.0999999999999996</v>
      </c>
    </row>
  </sheetData>
  <mergeCells count="6">
    <mergeCell ref="A2:A21"/>
    <mergeCell ref="A22:A41"/>
    <mergeCell ref="B2:B11"/>
    <mergeCell ref="B22:B31"/>
    <mergeCell ref="B12:B21"/>
    <mergeCell ref="B32:B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6462-CDB1-4746-BBBC-994BD2541003}">
  <dimension ref="A1:AO41"/>
  <sheetViews>
    <sheetView workbookViewId="0"/>
  </sheetViews>
  <sheetFormatPr baseColWidth="10" defaultColWidth="10.796875" defaultRowHeight="15.6" x14ac:dyDescent="0.3"/>
  <cols>
    <col min="1" max="2" width="10.796875" style="9"/>
    <col min="3" max="3" width="10.796875" style="10"/>
    <col min="4" max="9" width="10.796875" style="9"/>
    <col min="10" max="10" width="13.296875" style="9" customWidth="1"/>
    <col min="11" max="11" width="15.5" style="9" customWidth="1"/>
    <col min="12" max="16384" width="10.796875" style="9"/>
  </cols>
  <sheetData>
    <row r="1" spans="1:41" s="75" customFormat="1" ht="47.4" thickBot="1" x14ac:dyDescent="0.35">
      <c r="A1" s="44" t="s">
        <v>1</v>
      </c>
      <c r="B1" s="44" t="s">
        <v>0</v>
      </c>
      <c r="C1" s="44" t="s">
        <v>2</v>
      </c>
      <c r="D1" s="63" t="s">
        <v>8</v>
      </c>
      <c r="E1" s="62" t="s">
        <v>9</v>
      </c>
      <c r="F1" s="62" t="s">
        <v>10</v>
      </c>
      <c r="G1" s="62" t="s">
        <v>11</v>
      </c>
      <c r="H1" s="62" t="s">
        <v>12</v>
      </c>
      <c r="I1" s="62" t="s">
        <v>13</v>
      </c>
      <c r="J1" s="62" t="s">
        <v>14</v>
      </c>
      <c r="K1" s="65" t="s">
        <v>28</v>
      </c>
      <c r="M1" s="24"/>
      <c r="N1" s="24"/>
      <c r="O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 ht="16.05" customHeight="1" x14ac:dyDescent="0.3">
      <c r="A2" s="77" t="s">
        <v>21</v>
      </c>
      <c r="B2" s="83" t="s">
        <v>23</v>
      </c>
      <c r="C2" s="28">
        <v>17</v>
      </c>
      <c r="D2" s="33">
        <v>9.8770000000000007</v>
      </c>
      <c r="E2" s="11">
        <v>6.8620000000000001</v>
      </c>
      <c r="F2" s="11">
        <v>7.968</v>
      </c>
      <c r="G2" s="11">
        <v>3.6720000000000002</v>
      </c>
      <c r="H2" s="11">
        <v>6.16</v>
      </c>
      <c r="I2" s="11">
        <v>2.8050000000000002</v>
      </c>
      <c r="J2" s="11">
        <v>1348.0440000000003</v>
      </c>
      <c r="K2" s="14">
        <v>214.4</v>
      </c>
      <c r="M2" s="24"/>
      <c r="N2" s="24"/>
      <c r="O2" s="2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">
      <c r="A3" s="78"/>
      <c r="B3" s="84"/>
      <c r="C3" s="10">
        <v>18</v>
      </c>
      <c r="D3" s="34">
        <v>8.7210000000000001</v>
      </c>
      <c r="E3" s="12">
        <v>4.0609999999999999</v>
      </c>
      <c r="F3" s="12">
        <v>6.7080000000000002</v>
      </c>
      <c r="G3" s="12">
        <v>4.9859999999999998</v>
      </c>
      <c r="H3" s="12">
        <v>2.0329999999999999</v>
      </c>
      <c r="I3" s="12">
        <v>3.452</v>
      </c>
      <c r="J3" s="12">
        <v>1018.961</v>
      </c>
      <c r="K3" s="15">
        <v>197.8</v>
      </c>
      <c r="M3" s="24"/>
      <c r="N3" s="24"/>
      <c r="O3" s="24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3">
      <c r="A4" s="78"/>
      <c r="B4" s="84"/>
      <c r="C4" s="10">
        <v>124</v>
      </c>
      <c r="D4" s="34">
        <v>3.44</v>
      </c>
      <c r="E4" s="12">
        <v>7.6849999999999996</v>
      </c>
      <c r="F4" s="12">
        <v>2.246</v>
      </c>
      <c r="G4" s="12">
        <v>8.2550000000000008</v>
      </c>
      <c r="H4" s="12">
        <v>2.2519999999999998</v>
      </c>
      <c r="I4" s="12">
        <v>2.2290000000000001</v>
      </c>
      <c r="J4" s="12">
        <v>998.00699999999995</v>
      </c>
      <c r="K4" s="15">
        <v>288</v>
      </c>
      <c r="M4" s="24"/>
      <c r="N4" s="24"/>
      <c r="O4" s="24"/>
    </row>
    <row r="5" spans="1:41" x14ac:dyDescent="0.3">
      <c r="A5" s="78"/>
      <c r="B5" s="84"/>
      <c r="C5" s="10">
        <v>125</v>
      </c>
      <c r="D5" s="34">
        <v>2.1549999999999998</v>
      </c>
      <c r="E5" s="12">
        <v>0.50700000000000001</v>
      </c>
      <c r="F5" s="12">
        <v>2.1970000000000001</v>
      </c>
      <c r="G5" s="12">
        <v>1.109</v>
      </c>
      <c r="H5" s="12">
        <v>0.78</v>
      </c>
      <c r="I5" s="12">
        <v>1.1950000000000001</v>
      </c>
      <c r="J5" s="12">
        <v>201.94300000000001</v>
      </c>
      <c r="K5" s="15">
        <v>151.1</v>
      </c>
      <c r="M5" s="24"/>
      <c r="N5" s="24"/>
      <c r="O5" s="24"/>
    </row>
    <row r="6" spans="1:41" x14ac:dyDescent="0.3">
      <c r="A6" s="78"/>
      <c r="B6" s="84"/>
      <c r="C6" s="10">
        <v>126</v>
      </c>
      <c r="D6" s="34">
        <v>4.0330000000000004</v>
      </c>
      <c r="E6" s="12">
        <v>1.2949999999999999</v>
      </c>
      <c r="F6" s="12">
        <v>5.4420000000000002</v>
      </c>
      <c r="G6" s="12">
        <v>1.171</v>
      </c>
      <c r="H6" s="12">
        <v>2.5449999999999999</v>
      </c>
      <c r="I6" s="12">
        <v>0.64700000000000002</v>
      </c>
      <c r="J6" s="12">
        <v>374.63300000000004</v>
      </c>
      <c r="K6" s="15">
        <v>165.7</v>
      </c>
      <c r="M6" s="24"/>
      <c r="N6" s="24"/>
      <c r="O6" s="24"/>
    </row>
    <row r="7" spans="1:41" x14ac:dyDescent="0.3">
      <c r="A7" s="78"/>
      <c r="B7" s="84"/>
      <c r="C7" s="10">
        <v>167</v>
      </c>
      <c r="D7" s="34">
        <v>3.5059999999999998</v>
      </c>
      <c r="E7" s="12">
        <v>0.32300000000000001</v>
      </c>
      <c r="F7" s="12">
        <v>1.768</v>
      </c>
      <c r="G7" s="12">
        <v>0.96499999999999997</v>
      </c>
      <c r="H7" s="12">
        <v>1.1439999999999999</v>
      </c>
      <c r="I7" s="12">
        <v>2.4020000000000001</v>
      </c>
      <c r="J7" s="12">
        <v>386.10799999999983</v>
      </c>
      <c r="K7" s="15">
        <v>134.30000000000001</v>
      </c>
      <c r="M7" s="24"/>
      <c r="N7" s="24"/>
      <c r="O7" s="24"/>
    </row>
    <row r="8" spans="1:41" x14ac:dyDescent="0.3">
      <c r="A8" s="78"/>
      <c r="B8" s="84"/>
      <c r="C8" s="10">
        <v>168</v>
      </c>
      <c r="D8" s="34">
        <v>9.2929999999999993</v>
      </c>
      <c r="E8" s="12">
        <v>0.62</v>
      </c>
      <c r="F8" s="12">
        <v>8.5310000000000006</v>
      </c>
      <c r="G8" s="12">
        <v>0.373</v>
      </c>
      <c r="H8" s="12">
        <v>1.1220000000000001</v>
      </c>
      <c r="I8" s="12">
        <v>0.61</v>
      </c>
      <c r="J8" s="12">
        <v>543.74899999999991</v>
      </c>
      <c r="K8" s="15">
        <v>113.6</v>
      </c>
      <c r="M8" s="24"/>
      <c r="N8" s="24"/>
      <c r="O8" s="24"/>
    </row>
    <row r="9" spans="1:41" x14ac:dyDescent="0.3">
      <c r="A9" s="78"/>
      <c r="B9" s="84"/>
      <c r="C9" s="10">
        <v>169</v>
      </c>
      <c r="D9" s="34">
        <v>4.9870000000000001</v>
      </c>
      <c r="E9" s="12">
        <v>2.0670000000000002</v>
      </c>
      <c r="F9" s="12">
        <v>7.78</v>
      </c>
      <c r="G9" s="12">
        <v>11.029</v>
      </c>
      <c r="H9" s="12">
        <v>6.6959999999999997</v>
      </c>
      <c r="I9" s="12">
        <v>2.278</v>
      </c>
      <c r="J9" s="12">
        <v>720.4369999999999</v>
      </c>
      <c r="K9" s="15">
        <v>71.099999999999994</v>
      </c>
      <c r="M9" s="24"/>
      <c r="N9" s="24"/>
      <c r="O9" s="24"/>
    </row>
    <row r="10" spans="1:41" x14ac:dyDescent="0.3">
      <c r="A10" s="78"/>
      <c r="B10" s="84"/>
      <c r="C10" s="10">
        <v>259</v>
      </c>
      <c r="D10" s="34">
        <v>7.0069999999999997</v>
      </c>
      <c r="E10" s="12">
        <v>2.4830000000000001</v>
      </c>
      <c r="F10" s="12">
        <v>4.2439999999999998</v>
      </c>
      <c r="G10" s="12">
        <v>2.7410000000000001</v>
      </c>
      <c r="H10" s="12">
        <v>0.48499999999999999</v>
      </c>
      <c r="I10" s="12">
        <v>1.3859999999999999</v>
      </c>
      <c r="J10" s="12">
        <v>666.4459999999998</v>
      </c>
      <c r="K10" s="15">
        <v>9.8000000000000007</v>
      </c>
      <c r="M10" s="24"/>
      <c r="N10" s="24"/>
      <c r="O10" s="24"/>
    </row>
    <row r="11" spans="1:41" x14ac:dyDescent="0.3">
      <c r="A11" s="78"/>
      <c r="B11" s="85"/>
      <c r="C11" s="29">
        <v>260</v>
      </c>
      <c r="D11" s="35">
        <v>2.6349999999999998</v>
      </c>
      <c r="E11" s="17">
        <v>3.2429999999999999</v>
      </c>
      <c r="F11" s="17">
        <v>1.087</v>
      </c>
      <c r="G11" s="17">
        <v>7.9320000000000004</v>
      </c>
      <c r="H11" s="17">
        <v>1.9159999999999999</v>
      </c>
      <c r="I11" s="17">
        <v>1.008</v>
      </c>
      <c r="J11" s="17">
        <v>367.92099999999999</v>
      </c>
      <c r="K11" s="18">
        <v>119.7</v>
      </c>
      <c r="M11" s="24"/>
      <c r="N11" s="24"/>
      <c r="O11" s="24"/>
    </row>
    <row r="12" spans="1:41" ht="16.05" customHeight="1" x14ac:dyDescent="0.3">
      <c r="A12" s="78"/>
      <c r="B12" s="86" t="s">
        <v>24</v>
      </c>
      <c r="C12" s="10">
        <v>57</v>
      </c>
      <c r="D12" s="34">
        <v>6.6059999999999999</v>
      </c>
      <c r="E12" s="12">
        <v>0.88800000000000001</v>
      </c>
      <c r="F12" s="12">
        <v>3.012</v>
      </c>
      <c r="G12" s="12">
        <v>0.71299999999999997</v>
      </c>
      <c r="H12" s="12">
        <v>2.476</v>
      </c>
      <c r="I12" s="12">
        <v>3.677</v>
      </c>
      <c r="J12" s="12">
        <v>746.77199999999993</v>
      </c>
      <c r="K12" s="15">
        <v>87.9</v>
      </c>
      <c r="M12" s="24"/>
      <c r="N12" s="24"/>
      <c r="O12" s="24"/>
    </row>
    <row r="13" spans="1:41" x14ac:dyDescent="0.3">
      <c r="A13" s="78"/>
      <c r="B13" s="86"/>
      <c r="C13" s="10">
        <v>58</v>
      </c>
      <c r="D13" s="34">
        <v>3.76</v>
      </c>
      <c r="E13" s="12">
        <v>1.9590000000000001</v>
      </c>
      <c r="F13" s="12">
        <v>1.4359999999999999</v>
      </c>
      <c r="G13" s="12">
        <v>2.895</v>
      </c>
      <c r="H13" s="12">
        <v>2.2200000000000002</v>
      </c>
      <c r="I13" s="12">
        <v>3.0030000000000001</v>
      </c>
      <c r="J13" s="12">
        <v>830.173</v>
      </c>
      <c r="K13" s="15">
        <v>184.1</v>
      </c>
      <c r="M13" s="24"/>
      <c r="N13" s="24"/>
      <c r="O13" s="24"/>
    </row>
    <row r="14" spans="1:41" x14ac:dyDescent="0.3">
      <c r="A14" s="78"/>
      <c r="B14" s="86"/>
      <c r="C14" s="10">
        <v>59</v>
      </c>
      <c r="D14" s="34">
        <v>8.1980000000000004</v>
      </c>
      <c r="E14" s="12">
        <v>10.298999999999999</v>
      </c>
      <c r="F14" s="12">
        <v>5.508</v>
      </c>
      <c r="G14" s="12">
        <v>6.3680000000000003</v>
      </c>
      <c r="H14" s="12">
        <v>2.9689999999999999</v>
      </c>
      <c r="I14" s="12">
        <v>1.7649999999999999</v>
      </c>
      <c r="J14" s="12">
        <v>1126.1070000000002</v>
      </c>
      <c r="K14" s="15">
        <v>80.2</v>
      </c>
      <c r="M14" s="24"/>
      <c r="N14" s="24"/>
      <c r="O14" s="24"/>
    </row>
    <row r="15" spans="1:41" x14ac:dyDescent="0.3">
      <c r="A15" s="78"/>
      <c r="B15" s="86"/>
      <c r="C15" s="10">
        <v>134</v>
      </c>
      <c r="D15" s="34">
        <v>8.0109999999999992</v>
      </c>
      <c r="E15" s="12">
        <v>3.5529999999999999</v>
      </c>
      <c r="F15" s="12">
        <v>2.9239999999999999</v>
      </c>
      <c r="G15" s="12">
        <v>1.98</v>
      </c>
      <c r="H15" s="12">
        <v>0.68100000000000005</v>
      </c>
      <c r="I15" s="12">
        <v>0.64900000000000002</v>
      </c>
      <c r="J15" s="12">
        <v>634.39800000000002</v>
      </c>
      <c r="K15" s="15">
        <v>116.4</v>
      </c>
    </row>
    <row r="16" spans="1:41" x14ac:dyDescent="0.3">
      <c r="A16" s="78"/>
      <c r="B16" s="86"/>
      <c r="C16" s="10">
        <v>135</v>
      </c>
      <c r="D16" s="34">
        <v>2.7360000000000002</v>
      </c>
      <c r="E16" s="12">
        <v>7.1539999999999999</v>
      </c>
      <c r="F16" s="12">
        <v>2.1</v>
      </c>
      <c r="G16" s="12">
        <v>0.32900000000000001</v>
      </c>
      <c r="H16" s="12">
        <v>0.45300000000000001</v>
      </c>
      <c r="I16" s="12">
        <v>0.24199999999999999</v>
      </c>
      <c r="J16" s="12">
        <v>445.41399999999999</v>
      </c>
      <c r="K16" s="15">
        <v>93.9</v>
      </c>
    </row>
    <row r="17" spans="1:15" x14ac:dyDescent="0.3">
      <c r="A17" s="78"/>
      <c r="B17" s="86"/>
      <c r="C17" s="10">
        <v>235</v>
      </c>
      <c r="D17" s="34">
        <v>5.8710000000000004</v>
      </c>
      <c r="E17" s="12">
        <v>1.1459999999999999</v>
      </c>
      <c r="F17" s="12">
        <v>5.4119999999999999</v>
      </c>
      <c r="G17" s="12">
        <v>1.0640000000000001</v>
      </c>
      <c r="H17" s="12">
        <v>2.1589999999999998</v>
      </c>
      <c r="I17" s="12">
        <v>0.95</v>
      </c>
      <c r="J17" s="12">
        <v>637.70199999999988</v>
      </c>
      <c r="K17" s="15">
        <v>160.30000000000001</v>
      </c>
    </row>
    <row r="18" spans="1:15" x14ac:dyDescent="0.3">
      <c r="A18" s="78"/>
      <c r="B18" s="86"/>
      <c r="C18" s="10">
        <v>236</v>
      </c>
      <c r="D18" s="34">
        <v>2.7679999999999998</v>
      </c>
      <c r="E18" s="12">
        <v>5.5739999999999998</v>
      </c>
      <c r="F18" s="12">
        <v>3.26</v>
      </c>
      <c r="G18" s="12">
        <v>0.92300000000000004</v>
      </c>
      <c r="H18" s="12">
        <v>0.52300000000000002</v>
      </c>
      <c r="I18" s="12">
        <v>1.411</v>
      </c>
      <c r="J18" s="12">
        <v>327.65899999999999</v>
      </c>
      <c r="K18" s="15">
        <v>170.5</v>
      </c>
    </row>
    <row r="19" spans="1:15" x14ac:dyDescent="0.3">
      <c r="A19" s="78"/>
      <c r="B19" s="86"/>
      <c r="C19" s="10">
        <v>237</v>
      </c>
      <c r="D19" s="34">
        <v>5.7830000000000004</v>
      </c>
      <c r="E19" s="12">
        <v>5.3719999999999999</v>
      </c>
      <c r="F19" s="12">
        <v>3.1190000000000002</v>
      </c>
      <c r="G19" s="12">
        <v>0.92500000000000004</v>
      </c>
      <c r="H19" s="12">
        <v>1.546</v>
      </c>
      <c r="I19" s="12">
        <v>0.60799999999999998</v>
      </c>
      <c r="J19" s="12">
        <v>914.15300000000002</v>
      </c>
      <c r="K19" s="15">
        <v>210.3</v>
      </c>
    </row>
    <row r="20" spans="1:15" x14ac:dyDescent="0.3">
      <c r="A20" s="78"/>
      <c r="B20" s="86"/>
      <c r="C20" s="10">
        <v>269</v>
      </c>
      <c r="D20" s="34">
        <v>6.1890000000000001</v>
      </c>
      <c r="E20" s="12">
        <v>1.4750000000000001</v>
      </c>
      <c r="F20" s="12">
        <v>0.80100000000000005</v>
      </c>
      <c r="G20" s="12">
        <v>0.92300000000000004</v>
      </c>
      <c r="H20" s="12">
        <v>1.4590000000000001</v>
      </c>
      <c r="I20" s="12">
        <v>0.80500000000000005</v>
      </c>
      <c r="J20" s="12">
        <v>394.35200000000009</v>
      </c>
      <c r="K20" s="15">
        <v>190.7</v>
      </c>
    </row>
    <row r="21" spans="1:15" ht="16.2" thickBot="1" x14ac:dyDescent="0.35">
      <c r="A21" s="79"/>
      <c r="B21" s="87"/>
      <c r="C21" s="30">
        <v>270</v>
      </c>
      <c r="D21" s="36">
        <v>2.3210000000000002</v>
      </c>
      <c r="E21" s="13">
        <v>1.228</v>
      </c>
      <c r="F21" s="13">
        <v>6.3710000000000004</v>
      </c>
      <c r="G21" s="13">
        <v>3.6070000000000002</v>
      </c>
      <c r="H21" s="13">
        <v>2.0009999999999999</v>
      </c>
      <c r="I21" s="13">
        <v>1.6519999999999999</v>
      </c>
      <c r="J21" s="13">
        <v>445.98</v>
      </c>
      <c r="K21" s="16">
        <v>95.1</v>
      </c>
    </row>
    <row r="22" spans="1:15" ht="16.05" customHeight="1" x14ac:dyDescent="0.3">
      <c r="A22" s="80" t="s">
        <v>22</v>
      </c>
      <c r="B22" s="83" t="s">
        <v>23</v>
      </c>
      <c r="C22" s="28">
        <v>37</v>
      </c>
      <c r="D22" s="33">
        <v>8.7439999999999998</v>
      </c>
      <c r="E22" s="11">
        <v>2.2709999999999999</v>
      </c>
      <c r="F22" s="11">
        <v>0.435</v>
      </c>
      <c r="G22" s="11">
        <v>3.5840000000000001</v>
      </c>
      <c r="H22" s="11">
        <v>0</v>
      </c>
      <c r="I22" s="11">
        <v>2.1360000000000001</v>
      </c>
      <c r="J22" s="11">
        <v>551.56999999999982</v>
      </c>
      <c r="K22" s="14">
        <v>57.1</v>
      </c>
      <c r="M22" s="24"/>
      <c r="N22" s="24"/>
      <c r="O22" s="24"/>
    </row>
    <row r="23" spans="1:15" x14ac:dyDescent="0.3">
      <c r="A23" s="81"/>
      <c r="B23" s="84"/>
      <c r="C23" s="10">
        <v>38</v>
      </c>
      <c r="D23" s="34">
        <v>6.8460000000000001</v>
      </c>
      <c r="E23" s="12">
        <v>2.294</v>
      </c>
      <c r="F23" s="12">
        <v>1.1830000000000001</v>
      </c>
      <c r="G23" s="12">
        <v>6.7149999999999999</v>
      </c>
      <c r="H23" s="12">
        <v>4.9329999999999998</v>
      </c>
      <c r="I23" s="12">
        <v>0.78800000000000003</v>
      </c>
      <c r="J23" s="12">
        <v>499.95899999999995</v>
      </c>
      <c r="K23" s="15">
        <v>133.80000000000001</v>
      </c>
      <c r="M23" s="24"/>
      <c r="N23" s="24"/>
      <c r="O23" s="24"/>
    </row>
    <row r="24" spans="1:15" x14ac:dyDescent="0.3">
      <c r="A24" s="81"/>
      <c r="B24" s="84"/>
      <c r="C24" s="10">
        <v>39</v>
      </c>
      <c r="D24" s="34">
        <v>3.411</v>
      </c>
      <c r="E24" s="12">
        <v>7.806</v>
      </c>
      <c r="F24" s="12">
        <v>2.83</v>
      </c>
      <c r="G24" s="12">
        <v>10.052</v>
      </c>
      <c r="H24" s="12">
        <v>1.47</v>
      </c>
      <c r="I24" s="12">
        <v>1.476</v>
      </c>
      <c r="J24" s="12">
        <v>566.04500000000007</v>
      </c>
      <c r="K24" s="15">
        <v>147.1</v>
      </c>
      <c r="M24" s="24"/>
      <c r="N24" s="24"/>
      <c r="O24" s="24"/>
    </row>
    <row r="25" spans="1:15" x14ac:dyDescent="0.3">
      <c r="A25" s="81"/>
      <c r="B25" s="84"/>
      <c r="C25" s="10">
        <v>40</v>
      </c>
      <c r="D25" s="34">
        <v>3.4529999999999998</v>
      </c>
      <c r="E25" s="12">
        <v>0.85599999999999998</v>
      </c>
      <c r="F25" s="12">
        <v>0.20599999999999999</v>
      </c>
      <c r="G25" s="12">
        <v>3.1779999999999999</v>
      </c>
      <c r="H25" s="12">
        <v>1.8069999999999999</v>
      </c>
      <c r="I25" s="12">
        <v>1.9430000000000001</v>
      </c>
      <c r="J25" s="12">
        <v>285.14299999999997</v>
      </c>
      <c r="K25" s="15">
        <v>127.4</v>
      </c>
      <c r="M25" s="24"/>
      <c r="N25" s="24"/>
      <c r="O25" s="24"/>
    </row>
    <row r="26" spans="1:15" x14ac:dyDescent="0.3">
      <c r="A26" s="81"/>
      <c r="B26" s="84"/>
      <c r="C26" s="10">
        <v>41</v>
      </c>
      <c r="D26" s="34">
        <v>2.3359999999999999</v>
      </c>
      <c r="E26" s="12">
        <v>3.2480000000000002</v>
      </c>
      <c r="F26" s="12">
        <v>1.7370000000000001</v>
      </c>
      <c r="G26" s="12">
        <v>1.53</v>
      </c>
      <c r="H26" s="12">
        <v>4.7869999999999999</v>
      </c>
      <c r="I26" s="12">
        <v>0.61299999999999999</v>
      </c>
      <c r="J26" s="12">
        <v>367.95099999999996</v>
      </c>
      <c r="K26" s="15">
        <v>125.9</v>
      </c>
      <c r="M26" s="24"/>
      <c r="N26" s="24"/>
      <c r="O26" s="24"/>
    </row>
    <row r="27" spans="1:15" x14ac:dyDescent="0.3">
      <c r="A27" s="81"/>
      <c r="B27" s="84"/>
      <c r="C27" s="10">
        <v>215</v>
      </c>
      <c r="D27" s="34">
        <v>7.2190000000000003</v>
      </c>
      <c r="E27" s="12">
        <v>0.58099999999999996</v>
      </c>
      <c r="F27" s="12">
        <v>1.4139999999999999</v>
      </c>
      <c r="G27" s="12">
        <v>0.35099999999999998</v>
      </c>
      <c r="H27" s="12">
        <v>0.33300000000000002</v>
      </c>
      <c r="I27" s="12">
        <v>1.1659999999999999</v>
      </c>
      <c r="J27" s="12">
        <v>495.06399999999996</v>
      </c>
      <c r="K27" s="15">
        <v>236.4</v>
      </c>
      <c r="M27" s="24"/>
      <c r="N27" s="24"/>
      <c r="O27" s="24"/>
    </row>
    <row r="28" spans="1:15" x14ac:dyDescent="0.3">
      <c r="A28" s="81"/>
      <c r="B28" s="84"/>
      <c r="C28" s="10">
        <v>216</v>
      </c>
      <c r="D28" s="34">
        <v>0.78200000000000003</v>
      </c>
      <c r="E28" s="12">
        <v>0.39</v>
      </c>
      <c r="F28" s="12">
        <v>0.40899999999999997</v>
      </c>
      <c r="G28" s="12">
        <v>2.3210000000000002</v>
      </c>
      <c r="H28" s="12">
        <v>0.45400000000000001</v>
      </c>
      <c r="I28" s="12">
        <v>1.6819999999999999</v>
      </c>
      <c r="J28" s="12">
        <v>191.23799999999997</v>
      </c>
      <c r="K28" s="15">
        <v>111.7</v>
      </c>
      <c r="M28" s="24"/>
      <c r="N28" s="24"/>
      <c r="O28" s="24"/>
    </row>
    <row r="29" spans="1:15" x14ac:dyDescent="0.3">
      <c r="A29" s="81"/>
      <c r="B29" s="84"/>
      <c r="C29" s="10">
        <v>217</v>
      </c>
      <c r="D29" s="34">
        <v>2.7</v>
      </c>
      <c r="E29" s="12">
        <v>11.118</v>
      </c>
      <c r="F29" s="12">
        <v>11.946999999999999</v>
      </c>
      <c r="G29" s="12">
        <v>2.54</v>
      </c>
      <c r="H29" s="12">
        <v>7.0380000000000003</v>
      </c>
      <c r="I29" s="12">
        <v>1.028</v>
      </c>
      <c r="J29" s="12">
        <v>967.77100000000007</v>
      </c>
      <c r="K29" s="15">
        <v>119.7</v>
      </c>
      <c r="M29" s="24"/>
      <c r="N29" s="24"/>
      <c r="O29" s="24"/>
    </row>
    <row r="30" spans="1:15" x14ac:dyDescent="0.3">
      <c r="A30" s="81"/>
      <c r="B30" s="84"/>
      <c r="C30" s="10">
        <v>218</v>
      </c>
      <c r="D30" s="34">
        <v>6.5049999999999999</v>
      </c>
      <c r="E30" s="12">
        <v>3.3849999999999998</v>
      </c>
      <c r="F30" s="12">
        <v>5.9269999999999996</v>
      </c>
      <c r="G30" s="12">
        <v>1.3740000000000001</v>
      </c>
      <c r="H30" s="12">
        <v>0.182</v>
      </c>
      <c r="I30" s="12">
        <v>0.88600000000000001</v>
      </c>
      <c r="J30" s="12">
        <v>522.85900000000004</v>
      </c>
      <c r="K30" s="15">
        <v>51.1</v>
      </c>
      <c r="M30" s="24"/>
      <c r="N30" s="24"/>
      <c r="O30" s="24"/>
    </row>
    <row r="31" spans="1:15" x14ac:dyDescent="0.3">
      <c r="A31" s="81"/>
      <c r="B31" s="85"/>
      <c r="C31" s="29">
        <v>219</v>
      </c>
      <c r="D31" s="35">
        <v>5.3609999999999998</v>
      </c>
      <c r="E31" s="17">
        <v>0.75900000000000001</v>
      </c>
      <c r="F31" s="17">
        <v>2.246</v>
      </c>
      <c r="G31" s="17">
        <v>3.23</v>
      </c>
      <c r="H31" s="17">
        <v>3.4569999999999999</v>
      </c>
      <c r="I31" s="17">
        <v>0.88</v>
      </c>
      <c r="J31" s="17">
        <v>426.93299999999999</v>
      </c>
      <c r="K31" s="18">
        <v>96.3</v>
      </c>
      <c r="M31" s="24"/>
      <c r="N31" s="24"/>
      <c r="O31" s="24"/>
    </row>
    <row r="32" spans="1:15" ht="16.05" customHeight="1" x14ac:dyDescent="0.3">
      <c r="A32" s="81"/>
      <c r="B32" s="86" t="s">
        <v>24</v>
      </c>
      <c r="C32" s="10">
        <v>12</v>
      </c>
      <c r="D32" s="34">
        <v>11.324999999999999</v>
      </c>
      <c r="E32" s="12">
        <v>10.885</v>
      </c>
      <c r="F32" s="12">
        <v>8.9489999999999998</v>
      </c>
      <c r="G32" s="12">
        <v>3.5529999999999999</v>
      </c>
      <c r="H32" s="12">
        <v>5.7830000000000004</v>
      </c>
      <c r="I32" s="12">
        <v>0.75600000000000001</v>
      </c>
      <c r="J32" s="12">
        <v>1346.0510000000004</v>
      </c>
      <c r="K32" s="15">
        <v>48.6</v>
      </c>
    </row>
    <row r="33" spans="1:11" x14ac:dyDescent="0.3">
      <c r="A33" s="81"/>
      <c r="B33" s="86"/>
      <c r="C33" s="10">
        <v>13</v>
      </c>
      <c r="D33" s="34">
        <v>13.311999999999999</v>
      </c>
      <c r="E33" s="12">
        <v>4.4530000000000003</v>
      </c>
      <c r="F33" s="12">
        <v>10.677</v>
      </c>
      <c r="G33" s="12">
        <v>3.133</v>
      </c>
      <c r="H33" s="12">
        <v>13.1</v>
      </c>
      <c r="I33" s="12">
        <v>3.3849999999999998</v>
      </c>
      <c r="J33" s="12">
        <v>1216.9599999999998</v>
      </c>
      <c r="K33" s="15">
        <v>170.4</v>
      </c>
    </row>
    <row r="34" spans="1:11" x14ac:dyDescent="0.3">
      <c r="A34" s="81"/>
      <c r="B34" s="86"/>
      <c r="C34" s="10">
        <v>14</v>
      </c>
      <c r="D34" s="34">
        <v>12.948</v>
      </c>
      <c r="E34" s="12">
        <v>2.1</v>
      </c>
      <c r="F34" s="12">
        <v>9.1259999999999994</v>
      </c>
      <c r="G34" s="12">
        <v>0.76600000000000001</v>
      </c>
      <c r="H34" s="12">
        <v>1.381</v>
      </c>
      <c r="I34" s="12">
        <v>2.6930000000000001</v>
      </c>
      <c r="J34" s="12">
        <v>638.11399999999992</v>
      </c>
      <c r="K34" s="15">
        <v>112</v>
      </c>
    </row>
    <row r="35" spans="1:11" x14ac:dyDescent="0.3">
      <c r="A35" s="81"/>
      <c r="B35" s="86"/>
      <c r="C35" s="10">
        <v>116</v>
      </c>
      <c r="D35" s="34">
        <v>8.9329999999999998</v>
      </c>
      <c r="E35" s="12">
        <v>7.2640000000000002</v>
      </c>
      <c r="F35" s="12">
        <v>1.1160000000000001</v>
      </c>
      <c r="G35" s="12">
        <v>1.952</v>
      </c>
      <c r="H35" s="12">
        <v>0.63100000000000001</v>
      </c>
      <c r="I35" s="12">
        <v>0.18</v>
      </c>
      <c r="J35" s="12">
        <v>590.476</v>
      </c>
      <c r="K35" s="15">
        <v>71.599999999999994</v>
      </c>
    </row>
    <row r="36" spans="1:11" x14ac:dyDescent="0.3">
      <c r="A36" s="81"/>
      <c r="B36" s="86"/>
      <c r="C36" s="10">
        <v>117</v>
      </c>
      <c r="D36" s="34">
        <v>2.4950000000000001</v>
      </c>
      <c r="E36" s="12">
        <v>3.548</v>
      </c>
      <c r="F36" s="12">
        <v>0.66300000000000003</v>
      </c>
      <c r="G36" s="12">
        <v>1.163</v>
      </c>
      <c r="H36" s="12">
        <v>1.4159999999999999</v>
      </c>
      <c r="I36" s="12">
        <v>0.65300000000000002</v>
      </c>
      <c r="J36" s="12">
        <v>255.43800000000007</v>
      </c>
      <c r="K36" s="15">
        <v>171.1</v>
      </c>
    </row>
    <row r="37" spans="1:11" x14ac:dyDescent="0.3">
      <c r="A37" s="81"/>
      <c r="B37" s="86"/>
      <c r="C37" s="10">
        <v>151</v>
      </c>
      <c r="D37" s="34">
        <v>15.1</v>
      </c>
      <c r="E37" s="12">
        <v>5.7409999999999997</v>
      </c>
      <c r="F37" s="12">
        <v>5.61</v>
      </c>
      <c r="G37" s="12">
        <v>2.1230000000000002</v>
      </c>
      <c r="H37" s="12">
        <v>0.91600000000000004</v>
      </c>
      <c r="I37" s="12">
        <v>1.51</v>
      </c>
      <c r="J37" s="12">
        <v>611.10000000000025</v>
      </c>
      <c r="K37" s="15">
        <v>70.599999999999994</v>
      </c>
    </row>
    <row r="38" spans="1:11" x14ac:dyDescent="0.3">
      <c r="A38" s="81"/>
      <c r="B38" s="86"/>
      <c r="C38" s="10">
        <v>152</v>
      </c>
      <c r="D38" s="34">
        <v>1.3180000000000001</v>
      </c>
      <c r="E38" s="12">
        <v>5.3490000000000002</v>
      </c>
      <c r="F38" s="12">
        <v>1.0449999999999999</v>
      </c>
      <c r="G38" s="12">
        <v>0.93700000000000006</v>
      </c>
      <c r="H38" s="12">
        <v>1.0169999999999999</v>
      </c>
      <c r="I38" s="12">
        <v>0.84299999999999997</v>
      </c>
      <c r="J38" s="12">
        <v>290.60900000000004</v>
      </c>
      <c r="K38" s="15">
        <v>107.9</v>
      </c>
    </row>
    <row r="39" spans="1:11" x14ac:dyDescent="0.3">
      <c r="A39" s="81"/>
      <c r="B39" s="86"/>
      <c r="C39" s="10">
        <v>153</v>
      </c>
      <c r="D39" s="34">
        <v>7.65</v>
      </c>
      <c r="E39" s="12">
        <v>5.29</v>
      </c>
      <c r="F39" s="12">
        <v>0.48799999999999999</v>
      </c>
      <c r="G39" s="12">
        <v>0.72199999999999998</v>
      </c>
      <c r="H39" s="12">
        <v>2.1579999999999999</v>
      </c>
      <c r="I39" s="12">
        <v>0.30599999999999999</v>
      </c>
      <c r="J39" s="12">
        <v>486.31399999999996</v>
      </c>
      <c r="K39" s="15">
        <v>90.8</v>
      </c>
    </row>
    <row r="40" spans="1:11" x14ac:dyDescent="0.3">
      <c r="A40" s="81"/>
      <c r="B40" s="86"/>
      <c r="C40" s="10">
        <v>251</v>
      </c>
      <c r="D40" s="34">
        <v>4.2240000000000002</v>
      </c>
      <c r="E40" s="12">
        <v>0.11700000000000001</v>
      </c>
      <c r="F40" s="12">
        <v>2.6869999999999998</v>
      </c>
      <c r="G40" s="12">
        <v>0.64200000000000002</v>
      </c>
      <c r="H40" s="12">
        <v>0.21199999999999999</v>
      </c>
      <c r="I40" s="12">
        <v>7.7160000000000002</v>
      </c>
      <c r="J40" s="12">
        <v>528.39800000000002</v>
      </c>
      <c r="K40" s="15">
        <v>165.2</v>
      </c>
    </row>
    <row r="41" spans="1:11" ht="16.2" thickBot="1" x14ac:dyDescent="0.35">
      <c r="A41" s="82"/>
      <c r="B41" s="87"/>
      <c r="C41" s="30">
        <v>284</v>
      </c>
      <c r="D41" s="36">
        <v>6.202</v>
      </c>
      <c r="E41" s="13">
        <v>8.2560000000000002</v>
      </c>
      <c r="F41" s="13">
        <v>7.3710000000000004</v>
      </c>
      <c r="G41" s="13">
        <v>2.5950000000000002</v>
      </c>
      <c r="H41" s="13">
        <v>0.23200000000000001</v>
      </c>
      <c r="I41" s="13">
        <v>0.51100000000000001</v>
      </c>
      <c r="J41" s="13">
        <v>1047.5670000000002</v>
      </c>
      <c r="K41" s="16">
        <v>162.6</v>
      </c>
    </row>
  </sheetData>
  <mergeCells count="6">
    <mergeCell ref="A2:A21"/>
    <mergeCell ref="A22:A41"/>
    <mergeCell ref="B2:B11"/>
    <mergeCell ref="B22:B31"/>
    <mergeCell ref="B12:B21"/>
    <mergeCell ref="B32:B4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1290-2F6F-9E41-976B-94D263CC85A9}">
  <dimension ref="A1:W29"/>
  <sheetViews>
    <sheetView workbookViewId="0"/>
  </sheetViews>
  <sheetFormatPr baseColWidth="10" defaultRowHeight="15.6" x14ac:dyDescent="0.3"/>
  <cols>
    <col min="3" max="3" width="10.796875" style="10"/>
  </cols>
  <sheetData>
    <row r="1" spans="1:23" s="10" customFormat="1" ht="16.2" thickBot="1" x14ac:dyDescent="0.35">
      <c r="A1" s="44" t="s">
        <v>1</v>
      </c>
      <c r="B1" s="44" t="s">
        <v>0</v>
      </c>
      <c r="C1" s="44" t="s">
        <v>2</v>
      </c>
      <c r="D1" s="67" t="s">
        <v>25</v>
      </c>
      <c r="E1" s="66" t="s">
        <v>26</v>
      </c>
    </row>
    <row r="2" spans="1:23" ht="16.05" customHeight="1" x14ac:dyDescent="0.3">
      <c r="A2" s="77" t="s">
        <v>21</v>
      </c>
      <c r="B2" s="83" t="s">
        <v>23</v>
      </c>
      <c r="C2" s="28">
        <v>103</v>
      </c>
      <c r="D2" s="68">
        <v>131.16476</v>
      </c>
      <c r="E2" s="6"/>
    </row>
    <row r="3" spans="1:23" x14ac:dyDescent="0.3">
      <c r="A3" s="78"/>
      <c r="B3" s="84"/>
      <c r="C3" s="10">
        <v>104</v>
      </c>
      <c r="D3" s="69">
        <v>102.45508</v>
      </c>
      <c r="E3" s="7"/>
    </row>
    <row r="4" spans="1:23" x14ac:dyDescent="0.3">
      <c r="A4" s="78"/>
      <c r="B4" s="84"/>
      <c r="C4" s="10">
        <v>187</v>
      </c>
      <c r="D4" s="69">
        <v>141.65443999999999</v>
      </c>
      <c r="E4" s="7"/>
    </row>
    <row r="5" spans="1:23" x14ac:dyDescent="0.3">
      <c r="A5" s="78"/>
      <c r="B5" s="84"/>
      <c r="C5" s="10">
        <v>188</v>
      </c>
      <c r="D5" s="69">
        <v>141.62835999999999</v>
      </c>
      <c r="E5" s="7"/>
    </row>
    <row r="6" spans="1:23" x14ac:dyDescent="0.3">
      <c r="A6" s="78"/>
      <c r="B6" s="84"/>
      <c r="C6" s="10">
        <v>189</v>
      </c>
      <c r="D6" s="69">
        <v>153.32952</v>
      </c>
      <c r="E6" s="7"/>
    </row>
    <row r="7" spans="1:23" x14ac:dyDescent="0.3">
      <c r="A7" s="78"/>
      <c r="B7" s="84"/>
      <c r="C7" s="10">
        <v>69</v>
      </c>
      <c r="D7" s="70"/>
      <c r="E7" s="8">
        <v>163.28891999999999</v>
      </c>
    </row>
    <row r="8" spans="1:23" x14ac:dyDescent="0.3">
      <c r="A8" s="78"/>
      <c r="B8" s="84"/>
      <c r="C8" s="10">
        <v>211</v>
      </c>
      <c r="D8" s="70"/>
      <c r="E8" s="8">
        <v>139.51563999999999</v>
      </c>
    </row>
    <row r="9" spans="1:23" x14ac:dyDescent="0.3">
      <c r="A9" s="78"/>
      <c r="B9" s="85"/>
      <c r="C9" s="29">
        <v>213</v>
      </c>
      <c r="D9" s="71"/>
      <c r="E9" s="32">
        <v>162.22280000000001</v>
      </c>
    </row>
    <row r="10" spans="1:23" ht="16.05" customHeight="1" x14ac:dyDescent="0.3">
      <c r="A10" s="78"/>
      <c r="B10" s="86" t="s">
        <v>24</v>
      </c>
      <c r="C10" s="10">
        <v>80</v>
      </c>
      <c r="D10" s="69">
        <v>112.98368000000001</v>
      </c>
      <c r="E10" s="7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A11" s="78"/>
      <c r="B11" s="86"/>
      <c r="C11" s="10">
        <v>208</v>
      </c>
      <c r="D11" s="69">
        <v>181.79687999999999</v>
      </c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23" x14ac:dyDescent="0.3">
      <c r="A12" s="78"/>
      <c r="B12" s="86"/>
      <c r="C12" s="10">
        <v>209</v>
      </c>
      <c r="D12" s="69">
        <v>105.12855999999999</v>
      </c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23" x14ac:dyDescent="0.3">
      <c r="A13" s="78"/>
      <c r="B13" s="86"/>
      <c r="C13" s="10">
        <v>210</v>
      </c>
      <c r="D13" s="69">
        <v>133.24688</v>
      </c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23" x14ac:dyDescent="0.3">
      <c r="A14" s="78"/>
      <c r="B14" s="86"/>
      <c r="C14" s="10">
        <v>133</v>
      </c>
      <c r="D14" s="70"/>
      <c r="E14" s="8">
        <v>149.26704000000001</v>
      </c>
    </row>
    <row r="15" spans="1:23" ht="16.2" thickBot="1" x14ac:dyDescent="0.35">
      <c r="A15" s="79"/>
      <c r="B15" s="87"/>
      <c r="C15" s="30">
        <v>268</v>
      </c>
      <c r="D15" s="72"/>
      <c r="E15" s="31">
        <v>163.87064000000001</v>
      </c>
    </row>
    <row r="16" spans="1:23" x14ac:dyDescent="0.3">
      <c r="A16" s="80" t="s">
        <v>22</v>
      </c>
      <c r="B16" s="83" t="s">
        <v>23</v>
      </c>
      <c r="C16" s="28">
        <v>193</v>
      </c>
      <c r="D16" s="68">
        <v>260.95679999999999</v>
      </c>
      <c r="E16" s="6"/>
    </row>
    <row r="17" spans="1:5" x14ac:dyDescent="0.3">
      <c r="A17" s="81"/>
      <c r="B17" s="84"/>
      <c r="C17" s="10">
        <v>194</v>
      </c>
      <c r="D17" s="69">
        <v>395.49975999999998</v>
      </c>
      <c r="E17" s="7"/>
    </row>
    <row r="18" spans="1:5" x14ac:dyDescent="0.3">
      <c r="A18" s="81"/>
      <c r="B18" s="84"/>
      <c r="C18" s="10">
        <v>195</v>
      </c>
      <c r="D18" s="69">
        <v>213.95952</v>
      </c>
      <c r="E18" s="7"/>
    </row>
    <row r="19" spans="1:5" x14ac:dyDescent="0.3">
      <c r="A19" s="81"/>
      <c r="B19" s="84"/>
      <c r="C19" s="10">
        <v>179</v>
      </c>
      <c r="D19" s="70"/>
      <c r="E19" s="8">
        <v>335.64447999999999</v>
      </c>
    </row>
    <row r="20" spans="1:5" x14ac:dyDescent="0.3">
      <c r="A20" s="81"/>
      <c r="B20" s="84"/>
      <c r="C20" s="10">
        <v>41</v>
      </c>
      <c r="D20" s="70"/>
      <c r="E20" s="8">
        <v>226.68672000000001</v>
      </c>
    </row>
    <row r="21" spans="1:5" x14ac:dyDescent="0.3">
      <c r="A21" s="81"/>
      <c r="B21" s="85"/>
      <c r="C21" s="29">
        <v>219</v>
      </c>
      <c r="D21" s="71"/>
      <c r="E21" s="32">
        <v>163.97479999999999</v>
      </c>
    </row>
    <row r="22" spans="1:5" ht="16.05" customHeight="1" x14ac:dyDescent="0.3">
      <c r="A22" s="81"/>
      <c r="B22" s="86" t="s">
        <v>24</v>
      </c>
      <c r="C22" s="10">
        <v>97</v>
      </c>
      <c r="D22" s="69">
        <v>414.36680000000001</v>
      </c>
      <c r="E22" s="7"/>
    </row>
    <row r="23" spans="1:5" x14ac:dyDescent="0.3">
      <c r="A23" s="81"/>
      <c r="B23" s="86"/>
      <c r="C23" s="10">
        <v>99</v>
      </c>
      <c r="D23" s="69">
        <v>287.84176000000002</v>
      </c>
      <c r="E23" s="7"/>
    </row>
    <row r="24" spans="1:5" x14ac:dyDescent="0.3">
      <c r="A24" s="81"/>
      <c r="B24" s="86"/>
      <c r="C24" s="10">
        <v>172</v>
      </c>
      <c r="D24" s="69">
        <v>170.93312</v>
      </c>
      <c r="E24" s="7"/>
    </row>
    <row r="25" spans="1:5" x14ac:dyDescent="0.3">
      <c r="A25" s="81"/>
      <c r="B25" s="86"/>
      <c r="C25" s="10">
        <v>96</v>
      </c>
      <c r="D25" s="70"/>
      <c r="E25" s="8">
        <v>286.28048000000001</v>
      </c>
    </row>
    <row r="26" spans="1:5" x14ac:dyDescent="0.3">
      <c r="A26" s="81"/>
      <c r="B26" s="86"/>
      <c r="C26" s="10">
        <v>115</v>
      </c>
      <c r="D26" s="70"/>
      <c r="E26" s="8">
        <v>373.50103999999999</v>
      </c>
    </row>
    <row r="27" spans="1:5" x14ac:dyDescent="0.3">
      <c r="A27" s="81"/>
      <c r="B27" s="86"/>
      <c r="C27" s="10">
        <v>150</v>
      </c>
      <c r="D27" s="70"/>
      <c r="E27" s="8">
        <v>276.04831999999999</v>
      </c>
    </row>
    <row r="28" spans="1:5" x14ac:dyDescent="0.3">
      <c r="A28" s="81"/>
      <c r="B28" s="86"/>
      <c r="C28" s="10">
        <v>173</v>
      </c>
      <c r="D28" s="70"/>
      <c r="E28" s="8">
        <v>288.49263999999999</v>
      </c>
    </row>
    <row r="29" spans="1:5" ht="16.2" thickBot="1" x14ac:dyDescent="0.35">
      <c r="A29" s="82"/>
      <c r="B29" s="87"/>
      <c r="C29" s="30">
        <v>250</v>
      </c>
      <c r="D29" s="72"/>
      <c r="E29" s="31">
        <v>352.12088</v>
      </c>
    </row>
  </sheetData>
  <mergeCells count="6">
    <mergeCell ref="A2:A15"/>
    <mergeCell ref="B2:B9"/>
    <mergeCell ref="B10:B15"/>
    <mergeCell ref="A16:A29"/>
    <mergeCell ref="B16:B21"/>
    <mergeCell ref="B22:B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65F2-6AEB-8047-9E3F-A0193F04DE2A}">
  <dimension ref="A1:AO73"/>
  <sheetViews>
    <sheetView workbookViewId="0">
      <pane ySplit="1" topLeftCell="A2" activePane="bottomLeft" state="frozen"/>
      <selection pane="bottomLeft"/>
    </sheetView>
  </sheetViews>
  <sheetFormatPr baseColWidth="10" defaultColWidth="10.296875" defaultRowHeight="15.6" x14ac:dyDescent="0.3"/>
  <cols>
    <col min="1" max="1" width="7.796875" style="9" bestFit="1" customWidth="1"/>
    <col min="2" max="2" width="8.19921875" style="9" bestFit="1" customWidth="1"/>
    <col min="3" max="3" width="8.796875" style="56" customWidth="1"/>
    <col min="4" max="8" width="13.796875" customWidth="1"/>
    <col min="9" max="9" width="12" customWidth="1"/>
  </cols>
  <sheetData>
    <row r="1" spans="1:41" s="76" customFormat="1" ht="47.4" thickBot="1" x14ac:dyDescent="0.35">
      <c r="A1" s="44" t="s">
        <v>1</v>
      </c>
      <c r="B1" s="44" t="s">
        <v>0</v>
      </c>
      <c r="C1" s="44" t="s">
        <v>2</v>
      </c>
      <c r="D1" s="45" t="s">
        <v>15</v>
      </c>
      <c r="E1" s="44" t="s">
        <v>16</v>
      </c>
      <c r="F1" s="44" t="s">
        <v>17</v>
      </c>
      <c r="G1" s="44" t="s">
        <v>18</v>
      </c>
      <c r="H1" s="44" t="s">
        <v>19</v>
      </c>
      <c r="I1" s="46" t="s">
        <v>20</v>
      </c>
    </row>
    <row r="2" spans="1:41" ht="16.05" customHeight="1" x14ac:dyDescent="0.3">
      <c r="A2" s="88" t="s">
        <v>21</v>
      </c>
      <c r="B2" s="83" t="s">
        <v>23</v>
      </c>
      <c r="C2" s="55">
        <v>17</v>
      </c>
      <c r="D2" s="33">
        <v>25.7</v>
      </c>
      <c r="E2" s="11">
        <v>26.3</v>
      </c>
      <c r="F2" s="11">
        <v>26.2</v>
      </c>
      <c r="G2" s="11">
        <v>26.5</v>
      </c>
      <c r="H2" s="11">
        <v>26.6</v>
      </c>
      <c r="I2" s="14">
        <f t="shared" ref="I2:I65" si="0">H2-D2</f>
        <v>0.90000000000000213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">
      <c r="A3" s="89"/>
      <c r="B3" s="84"/>
      <c r="C3" s="56">
        <v>18</v>
      </c>
      <c r="D3" s="34">
        <v>27.4</v>
      </c>
      <c r="E3" s="12">
        <v>28.6</v>
      </c>
      <c r="F3" s="12">
        <v>28.1</v>
      </c>
      <c r="G3" s="12">
        <v>30.2</v>
      </c>
      <c r="H3" s="12">
        <v>30.8</v>
      </c>
      <c r="I3" s="15">
        <f t="shared" si="0"/>
        <v>3.4000000000000021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41" x14ac:dyDescent="0.3">
      <c r="A4" s="89"/>
      <c r="B4" s="84"/>
      <c r="C4" s="56">
        <v>71</v>
      </c>
      <c r="D4" s="34">
        <v>26.4</v>
      </c>
      <c r="E4" s="12">
        <v>27.2</v>
      </c>
      <c r="F4" s="12">
        <v>26.6</v>
      </c>
      <c r="G4" s="12">
        <v>27.6</v>
      </c>
      <c r="H4" s="12">
        <v>28.1</v>
      </c>
      <c r="I4" s="15">
        <f t="shared" si="0"/>
        <v>1.7000000000000028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41" x14ac:dyDescent="0.3">
      <c r="A5" s="89"/>
      <c r="B5" s="84"/>
      <c r="C5" s="56">
        <v>103</v>
      </c>
      <c r="D5" s="34">
        <v>27.1</v>
      </c>
      <c r="E5" s="12">
        <v>27.6</v>
      </c>
      <c r="F5" s="12">
        <v>28.2</v>
      </c>
      <c r="G5" s="12">
        <v>27.9</v>
      </c>
      <c r="H5" s="12">
        <v>28.9</v>
      </c>
      <c r="I5" s="15">
        <f t="shared" si="0"/>
        <v>1.7999999999999972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41" x14ac:dyDescent="0.3">
      <c r="A6" s="89"/>
      <c r="B6" s="84"/>
      <c r="C6" s="56">
        <v>104</v>
      </c>
      <c r="D6" s="34">
        <v>27.7</v>
      </c>
      <c r="E6" s="12">
        <v>28.4</v>
      </c>
      <c r="F6" s="12">
        <v>28.5</v>
      </c>
      <c r="G6" s="12">
        <v>28.8</v>
      </c>
      <c r="H6" s="12">
        <v>29.7</v>
      </c>
      <c r="I6" s="15">
        <f t="shared" si="0"/>
        <v>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41" x14ac:dyDescent="0.3">
      <c r="A7" s="89"/>
      <c r="B7" s="84"/>
      <c r="C7" s="56">
        <v>105</v>
      </c>
      <c r="D7" s="34">
        <v>30.4</v>
      </c>
      <c r="E7" s="12">
        <v>30.5</v>
      </c>
      <c r="F7" s="12">
        <v>30.6</v>
      </c>
      <c r="G7" s="12">
        <v>31.3</v>
      </c>
      <c r="H7" s="12">
        <v>32.200000000000003</v>
      </c>
      <c r="I7" s="15">
        <f t="shared" si="0"/>
        <v>1.8000000000000043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41" x14ac:dyDescent="0.3">
      <c r="A8" s="89"/>
      <c r="B8" s="84"/>
      <c r="C8" s="56">
        <v>124</v>
      </c>
      <c r="D8" s="34">
        <v>27.6</v>
      </c>
      <c r="E8" s="12">
        <v>27.9</v>
      </c>
      <c r="F8" s="12">
        <v>28.1</v>
      </c>
      <c r="G8" s="12">
        <v>28.7</v>
      </c>
      <c r="H8" s="12">
        <v>29.1</v>
      </c>
      <c r="I8" s="15">
        <f t="shared" si="0"/>
        <v>1.5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41" x14ac:dyDescent="0.3">
      <c r="A9" s="89"/>
      <c r="B9" s="84"/>
      <c r="C9" s="56">
        <v>125</v>
      </c>
      <c r="D9" s="34">
        <v>26.6</v>
      </c>
      <c r="E9" s="12">
        <v>27.2</v>
      </c>
      <c r="F9" s="12">
        <v>28</v>
      </c>
      <c r="G9" s="12">
        <v>28.4</v>
      </c>
      <c r="H9" s="12">
        <v>28.5</v>
      </c>
      <c r="I9" s="15">
        <f t="shared" si="0"/>
        <v>1.8999999999999986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41" x14ac:dyDescent="0.3">
      <c r="A10" s="89"/>
      <c r="B10" s="84"/>
      <c r="C10" s="56">
        <v>126</v>
      </c>
      <c r="D10" s="34">
        <v>30.6</v>
      </c>
      <c r="E10" s="12">
        <v>31</v>
      </c>
      <c r="F10" s="12">
        <v>31.9</v>
      </c>
      <c r="G10" s="12">
        <v>32.799999999999997</v>
      </c>
      <c r="H10" s="12">
        <v>32.299999999999997</v>
      </c>
      <c r="I10" s="15">
        <f t="shared" si="0"/>
        <v>1.6999999999999957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41" x14ac:dyDescent="0.3">
      <c r="A11" s="89"/>
      <c r="B11" s="84"/>
      <c r="C11" s="56">
        <v>167</v>
      </c>
      <c r="D11" s="34">
        <v>27.4</v>
      </c>
      <c r="E11" s="12">
        <v>28.1</v>
      </c>
      <c r="F11" s="12">
        <v>28.4</v>
      </c>
      <c r="G11" s="12">
        <v>28.7</v>
      </c>
      <c r="H11" s="12">
        <v>28.8</v>
      </c>
      <c r="I11" s="15">
        <f t="shared" si="0"/>
        <v>1.4000000000000021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41" x14ac:dyDescent="0.3">
      <c r="A12" s="89"/>
      <c r="B12" s="84"/>
      <c r="C12" s="56">
        <v>168</v>
      </c>
      <c r="D12" s="34">
        <v>28</v>
      </c>
      <c r="E12" s="12">
        <v>28.6</v>
      </c>
      <c r="F12" s="12">
        <v>29</v>
      </c>
      <c r="G12" s="12">
        <v>29.4</v>
      </c>
      <c r="H12" s="12">
        <v>29.9</v>
      </c>
      <c r="I12" s="15">
        <f t="shared" si="0"/>
        <v>1.8999999999999986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41" x14ac:dyDescent="0.3">
      <c r="A13" s="89"/>
      <c r="B13" s="84"/>
      <c r="C13" s="56">
        <v>169</v>
      </c>
      <c r="D13" s="34">
        <v>27.7</v>
      </c>
      <c r="E13" s="12">
        <v>28.7</v>
      </c>
      <c r="F13" s="12">
        <v>29.2</v>
      </c>
      <c r="G13" s="12">
        <v>29.8</v>
      </c>
      <c r="H13" s="12">
        <v>30.1</v>
      </c>
      <c r="I13" s="15">
        <f t="shared" si="0"/>
        <v>2.4000000000000021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41" x14ac:dyDescent="0.3">
      <c r="A14" s="89"/>
      <c r="B14" s="84"/>
      <c r="C14" s="56">
        <v>187</v>
      </c>
      <c r="D14" s="34">
        <v>26.6</v>
      </c>
      <c r="E14" s="12">
        <v>27.4</v>
      </c>
      <c r="F14" s="12">
        <v>27.5</v>
      </c>
      <c r="G14" s="12">
        <v>28</v>
      </c>
      <c r="H14" s="12">
        <v>28.5</v>
      </c>
      <c r="I14" s="15">
        <f t="shared" si="0"/>
        <v>1.8999999999999986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41" x14ac:dyDescent="0.3">
      <c r="A15" s="89"/>
      <c r="B15" s="84"/>
      <c r="C15" s="56">
        <v>188</v>
      </c>
      <c r="D15" s="34">
        <v>27.3</v>
      </c>
      <c r="E15" s="12">
        <v>28.2</v>
      </c>
      <c r="F15" s="12">
        <v>28.9</v>
      </c>
      <c r="G15" s="12">
        <v>29.6</v>
      </c>
      <c r="H15" s="12">
        <v>30.1</v>
      </c>
      <c r="I15" s="15">
        <f t="shared" si="0"/>
        <v>2.8000000000000007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41" x14ac:dyDescent="0.3">
      <c r="A16" s="89"/>
      <c r="B16" s="84"/>
      <c r="C16" s="56">
        <v>189</v>
      </c>
      <c r="D16" s="34">
        <v>28.2</v>
      </c>
      <c r="E16" s="12">
        <v>28.9</v>
      </c>
      <c r="F16" s="12">
        <v>29</v>
      </c>
      <c r="G16" s="12">
        <v>29.3</v>
      </c>
      <c r="H16" s="12">
        <v>29.9</v>
      </c>
      <c r="I16" s="15">
        <f t="shared" si="0"/>
        <v>1.6999999999999993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89"/>
      <c r="B17" s="84"/>
      <c r="C17" s="56">
        <v>214</v>
      </c>
      <c r="D17" s="34">
        <v>26.3</v>
      </c>
      <c r="E17" s="12">
        <v>27.1</v>
      </c>
      <c r="F17" s="12">
        <v>26.8</v>
      </c>
      <c r="G17" s="12">
        <v>27</v>
      </c>
      <c r="H17" s="12">
        <v>27</v>
      </c>
      <c r="I17" s="15">
        <f t="shared" si="0"/>
        <v>0.69999999999999929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89"/>
      <c r="B18" s="84"/>
      <c r="C18" s="56">
        <v>259</v>
      </c>
      <c r="D18" s="34">
        <v>31.3</v>
      </c>
      <c r="E18" s="12">
        <v>31.9</v>
      </c>
      <c r="F18" s="12">
        <v>32.4</v>
      </c>
      <c r="G18" s="12">
        <v>32.6</v>
      </c>
      <c r="H18" s="12">
        <v>33</v>
      </c>
      <c r="I18" s="15">
        <f t="shared" si="0"/>
        <v>1.6999999999999993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1"/>
    </row>
    <row r="19" spans="1:20" x14ac:dyDescent="0.3">
      <c r="A19" s="89"/>
      <c r="B19" s="84"/>
      <c r="C19" s="56">
        <v>260</v>
      </c>
      <c r="D19" s="34">
        <v>29.4</v>
      </c>
      <c r="E19" s="12">
        <v>29.9</v>
      </c>
      <c r="F19" s="12">
        <v>29.9</v>
      </c>
      <c r="G19" s="12">
        <v>30.2</v>
      </c>
      <c r="H19" s="12">
        <v>31.4</v>
      </c>
      <c r="I19" s="15">
        <f t="shared" si="0"/>
        <v>2</v>
      </c>
    </row>
    <row r="20" spans="1:20" x14ac:dyDescent="0.3">
      <c r="A20" s="89"/>
      <c r="B20" s="85"/>
      <c r="C20" s="57">
        <v>261</v>
      </c>
      <c r="D20" s="35">
        <v>30.1</v>
      </c>
      <c r="E20" s="17">
        <v>30.8</v>
      </c>
      <c r="F20" s="17">
        <v>31.5</v>
      </c>
      <c r="G20" s="17">
        <v>31.2</v>
      </c>
      <c r="H20" s="17">
        <v>31.7</v>
      </c>
      <c r="I20" s="18">
        <f t="shared" si="0"/>
        <v>1.5999999999999979</v>
      </c>
    </row>
    <row r="21" spans="1:20" ht="16.05" customHeight="1" x14ac:dyDescent="0.3">
      <c r="A21" s="89"/>
      <c r="B21" s="86" t="s">
        <v>24</v>
      </c>
      <c r="C21" s="56">
        <v>57</v>
      </c>
      <c r="D21" s="34">
        <v>25.5</v>
      </c>
      <c r="E21" s="12">
        <v>26.1</v>
      </c>
      <c r="F21" s="12">
        <v>26.5</v>
      </c>
      <c r="G21" s="12">
        <v>27.3</v>
      </c>
      <c r="H21" s="12">
        <v>28.3</v>
      </c>
      <c r="I21" s="15">
        <f t="shared" ref="I21:I37" si="1">H21-D21</f>
        <v>2.8000000000000007</v>
      </c>
    </row>
    <row r="22" spans="1:20" x14ac:dyDescent="0.3">
      <c r="A22" s="89"/>
      <c r="B22" s="86"/>
      <c r="C22" s="56">
        <v>58</v>
      </c>
      <c r="D22" s="34">
        <v>24</v>
      </c>
      <c r="E22" s="12">
        <v>24.4</v>
      </c>
      <c r="F22" s="12">
        <v>24.7</v>
      </c>
      <c r="G22" s="12">
        <v>24.8</v>
      </c>
      <c r="H22" s="12">
        <v>25.4</v>
      </c>
      <c r="I22" s="15">
        <f t="shared" si="1"/>
        <v>1.3999999999999986</v>
      </c>
    </row>
    <row r="23" spans="1:20" x14ac:dyDescent="0.3">
      <c r="A23" s="89"/>
      <c r="B23" s="86"/>
      <c r="C23" s="56">
        <v>59</v>
      </c>
      <c r="D23" s="34">
        <v>28.2</v>
      </c>
      <c r="E23" s="12">
        <v>28.4</v>
      </c>
      <c r="F23" s="12">
        <v>28.3</v>
      </c>
      <c r="G23" s="12">
        <v>29.6</v>
      </c>
      <c r="H23" s="12">
        <v>31</v>
      </c>
      <c r="I23" s="15">
        <f t="shared" si="1"/>
        <v>2.8000000000000007</v>
      </c>
    </row>
    <row r="24" spans="1:20" x14ac:dyDescent="0.3">
      <c r="A24" s="89"/>
      <c r="B24" s="86"/>
      <c r="C24" s="56">
        <v>133</v>
      </c>
      <c r="D24" s="34">
        <v>29.8</v>
      </c>
      <c r="E24" s="12">
        <v>26.7</v>
      </c>
      <c r="F24" s="12">
        <v>27.3</v>
      </c>
      <c r="G24" s="12">
        <v>28.2</v>
      </c>
      <c r="H24" s="12">
        <v>28.7</v>
      </c>
      <c r="I24" s="15">
        <f t="shared" si="1"/>
        <v>-1.1000000000000014</v>
      </c>
    </row>
    <row r="25" spans="1:20" x14ac:dyDescent="0.3">
      <c r="A25" s="89"/>
      <c r="B25" s="86"/>
      <c r="C25" s="56">
        <v>134</v>
      </c>
      <c r="D25" s="34">
        <v>27</v>
      </c>
      <c r="E25" s="12">
        <v>29.5</v>
      </c>
      <c r="F25" s="12">
        <v>29</v>
      </c>
      <c r="G25" s="12">
        <v>29.3</v>
      </c>
      <c r="H25" s="12">
        <v>29.2</v>
      </c>
      <c r="I25" s="15">
        <f t="shared" si="1"/>
        <v>2.1999999999999993</v>
      </c>
    </row>
    <row r="26" spans="1:20" ht="16.05" customHeight="1" x14ac:dyDescent="0.3">
      <c r="A26" s="89"/>
      <c r="B26" s="86"/>
      <c r="C26" s="56">
        <v>135</v>
      </c>
      <c r="D26" s="34">
        <v>29.6</v>
      </c>
      <c r="E26" s="12">
        <v>29.5</v>
      </c>
      <c r="F26" s="12">
        <v>28.9</v>
      </c>
      <c r="G26" s="12">
        <v>29.3</v>
      </c>
      <c r="H26" s="12">
        <v>28.8</v>
      </c>
      <c r="I26" s="15">
        <f t="shared" si="1"/>
        <v>-0.80000000000000071</v>
      </c>
      <c r="J26" s="1"/>
      <c r="K26" s="1"/>
    </row>
    <row r="27" spans="1:20" x14ac:dyDescent="0.3">
      <c r="A27" s="89"/>
      <c r="B27" s="86"/>
      <c r="C27" s="56">
        <v>166</v>
      </c>
      <c r="D27" s="34">
        <v>29.5</v>
      </c>
      <c r="E27" s="12">
        <v>29.466666669999999</v>
      </c>
      <c r="F27" s="12">
        <v>29.5</v>
      </c>
      <c r="G27" s="12"/>
      <c r="H27" s="12">
        <v>31.333333329999999</v>
      </c>
      <c r="I27" s="15">
        <f t="shared" si="1"/>
        <v>1.8333333299999985</v>
      </c>
    </row>
    <row r="28" spans="1:20" x14ac:dyDescent="0.3">
      <c r="A28" s="89"/>
      <c r="B28" s="86"/>
      <c r="C28" s="56">
        <v>208</v>
      </c>
      <c r="D28" s="34">
        <v>30.4</v>
      </c>
      <c r="E28" s="12">
        <v>31.4</v>
      </c>
      <c r="F28" s="12">
        <v>31.8</v>
      </c>
      <c r="G28" s="12">
        <v>32.9</v>
      </c>
      <c r="H28" s="12">
        <v>34.1</v>
      </c>
      <c r="I28" s="15">
        <f t="shared" si="1"/>
        <v>3.7000000000000028</v>
      </c>
    </row>
    <row r="29" spans="1:20" x14ac:dyDescent="0.3">
      <c r="A29" s="89"/>
      <c r="B29" s="86"/>
      <c r="C29" s="56">
        <v>209</v>
      </c>
      <c r="D29" s="34">
        <v>26.7</v>
      </c>
      <c r="E29" s="12">
        <v>27.5</v>
      </c>
      <c r="F29" s="12">
        <v>28.1</v>
      </c>
      <c r="G29" s="12">
        <v>28.6</v>
      </c>
      <c r="H29" s="12">
        <v>28.7</v>
      </c>
      <c r="I29" s="15">
        <f t="shared" si="1"/>
        <v>2</v>
      </c>
    </row>
    <row r="30" spans="1:20" x14ac:dyDescent="0.3">
      <c r="A30" s="89"/>
      <c r="B30" s="86"/>
      <c r="C30" s="56">
        <v>210</v>
      </c>
      <c r="D30" s="34">
        <v>28.4</v>
      </c>
      <c r="E30" s="12">
        <v>29.2</v>
      </c>
      <c r="F30" s="12">
        <v>29.3</v>
      </c>
      <c r="G30" s="12">
        <v>29.5</v>
      </c>
      <c r="H30" s="12">
        <v>30.1</v>
      </c>
      <c r="I30" s="15">
        <f t="shared" si="1"/>
        <v>1.7000000000000028</v>
      </c>
    </row>
    <row r="31" spans="1:20" x14ac:dyDescent="0.3">
      <c r="A31" s="89"/>
      <c r="B31" s="86"/>
      <c r="C31" s="56">
        <v>234</v>
      </c>
      <c r="D31" s="34">
        <v>29.5</v>
      </c>
      <c r="E31" s="12">
        <v>30.4</v>
      </c>
      <c r="F31" s="12">
        <v>30.5</v>
      </c>
      <c r="G31" s="12">
        <v>30.2</v>
      </c>
      <c r="H31" s="12">
        <v>29.8</v>
      </c>
      <c r="I31" s="15">
        <f t="shared" si="1"/>
        <v>0.30000000000000071</v>
      </c>
    </row>
    <row r="32" spans="1:20" x14ac:dyDescent="0.3">
      <c r="A32" s="89"/>
      <c r="B32" s="86"/>
      <c r="C32" s="56">
        <v>235</v>
      </c>
      <c r="D32" s="34">
        <v>28.1</v>
      </c>
      <c r="E32" s="12">
        <v>28.2</v>
      </c>
      <c r="F32" s="12">
        <v>28.1</v>
      </c>
      <c r="G32" s="12">
        <v>28.1</v>
      </c>
      <c r="H32" s="12">
        <v>28.2</v>
      </c>
      <c r="I32" s="15">
        <f t="shared" si="1"/>
        <v>9.9999999999997868E-2</v>
      </c>
    </row>
    <row r="33" spans="1:24" x14ac:dyDescent="0.3">
      <c r="A33" s="89"/>
      <c r="B33" s="86"/>
      <c r="C33" s="56">
        <v>236</v>
      </c>
      <c r="D33" s="34">
        <v>29.5</v>
      </c>
      <c r="E33" s="12">
        <v>30.1</v>
      </c>
      <c r="F33" s="12">
        <v>29.9</v>
      </c>
      <c r="G33" s="12">
        <v>29.7</v>
      </c>
      <c r="H33" s="12">
        <v>29</v>
      </c>
      <c r="I33" s="15">
        <f t="shared" si="1"/>
        <v>-0.5</v>
      </c>
    </row>
    <row r="34" spans="1:24" x14ac:dyDescent="0.3">
      <c r="A34" s="89"/>
      <c r="B34" s="86"/>
      <c r="C34" s="56">
        <v>237</v>
      </c>
      <c r="D34" s="34">
        <v>29.9</v>
      </c>
      <c r="E34" s="12">
        <v>30.4</v>
      </c>
      <c r="F34" s="12">
        <v>31</v>
      </c>
      <c r="G34" s="12">
        <v>31.2</v>
      </c>
      <c r="H34" s="12">
        <v>29.5</v>
      </c>
      <c r="I34" s="15">
        <f t="shared" si="1"/>
        <v>-0.39999999999999858</v>
      </c>
    </row>
    <row r="35" spans="1:24" x14ac:dyDescent="0.3">
      <c r="A35" s="89"/>
      <c r="B35" s="86"/>
      <c r="C35" s="56">
        <v>268</v>
      </c>
      <c r="D35" s="34">
        <v>29.3</v>
      </c>
      <c r="E35" s="12">
        <v>30</v>
      </c>
      <c r="F35" s="12">
        <v>30.2</v>
      </c>
      <c r="G35" s="12">
        <v>30.2</v>
      </c>
      <c r="H35" s="12">
        <v>31.4</v>
      </c>
      <c r="I35" s="15">
        <f t="shared" si="1"/>
        <v>2.0999999999999979</v>
      </c>
    </row>
    <row r="36" spans="1:24" x14ac:dyDescent="0.3">
      <c r="A36" s="89"/>
      <c r="B36" s="86"/>
      <c r="C36" s="56">
        <v>269</v>
      </c>
      <c r="D36" s="34">
        <v>29.2</v>
      </c>
      <c r="E36" s="12">
        <v>29.1</v>
      </c>
      <c r="F36" s="12">
        <v>28.8</v>
      </c>
      <c r="G36" s="12">
        <v>28.1</v>
      </c>
      <c r="H36" s="12">
        <v>29.2</v>
      </c>
      <c r="I36" s="15">
        <f t="shared" si="1"/>
        <v>0</v>
      </c>
    </row>
    <row r="37" spans="1:24" ht="16.2" thickBot="1" x14ac:dyDescent="0.35">
      <c r="A37" s="89"/>
      <c r="B37" s="86"/>
      <c r="C37" s="56">
        <v>270</v>
      </c>
      <c r="D37" s="34">
        <v>28.2</v>
      </c>
      <c r="E37" s="12">
        <v>27.6</v>
      </c>
      <c r="F37" s="12">
        <v>27.8</v>
      </c>
      <c r="G37" s="12">
        <v>28.1</v>
      </c>
      <c r="H37" s="12">
        <v>29</v>
      </c>
      <c r="I37" s="15">
        <f t="shared" si="1"/>
        <v>0.80000000000000071</v>
      </c>
    </row>
    <row r="38" spans="1:24" ht="16.05" customHeight="1" x14ac:dyDescent="0.3">
      <c r="A38" s="80" t="s">
        <v>22</v>
      </c>
      <c r="B38" s="83" t="s">
        <v>23</v>
      </c>
      <c r="C38" s="55">
        <v>37</v>
      </c>
      <c r="D38" s="33">
        <v>21.3</v>
      </c>
      <c r="E38" s="11">
        <v>21.4</v>
      </c>
      <c r="F38" s="11">
        <v>22.1</v>
      </c>
      <c r="G38" s="11">
        <v>22.3</v>
      </c>
      <c r="H38" s="11">
        <v>22.3</v>
      </c>
      <c r="I38" s="14">
        <f t="shared" si="0"/>
        <v>1</v>
      </c>
      <c r="J38" s="1"/>
      <c r="K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.05" customHeight="1" x14ac:dyDescent="0.3">
      <c r="A39" s="81"/>
      <c r="B39" s="84"/>
      <c r="C39" s="56">
        <v>38</v>
      </c>
      <c r="D39" s="34">
        <v>20.5</v>
      </c>
      <c r="E39" s="12">
        <v>20.6</v>
      </c>
      <c r="F39" s="12">
        <v>20.9</v>
      </c>
      <c r="G39" s="12">
        <v>21.3</v>
      </c>
      <c r="H39" s="12">
        <v>21.4</v>
      </c>
      <c r="I39" s="15">
        <f t="shared" si="0"/>
        <v>0.89999999999999858</v>
      </c>
    </row>
    <row r="40" spans="1:24" ht="16.05" customHeight="1" x14ac:dyDescent="0.3">
      <c r="A40" s="81"/>
      <c r="B40" s="84"/>
      <c r="C40" s="56">
        <v>39</v>
      </c>
      <c r="D40" s="34">
        <v>20.5</v>
      </c>
      <c r="E40" s="12">
        <v>21.3</v>
      </c>
      <c r="F40" s="12">
        <v>20.9</v>
      </c>
      <c r="G40" s="12">
        <v>24.7</v>
      </c>
      <c r="H40" s="12">
        <v>22.1</v>
      </c>
      <c r="I40" s="15">
        <f t="shared" si="0"/>
        <v>1.6000000000000014</v>
      </c>
    </row>
    <row r="41" spans="1:24" ht="16.05" customHeight="1" x14ac:dyDescent="0.3">
      <c r="A41" s="81"/>
      <c r="B41" s="84"/>
      <c r="C41" s="56">
        <v>40</v>
      </c>
      <c r="D41" s="34">
        <v>20.8</v>
      </c>
      <c r="E41" s="12">
        <v>20.6</v>
      </c>
      <c r="F41" s="12">
        <v>20.6</v>
      </c>
      <c r="G41" s="12">
        <v>20.9</v>
      </c>
      <c r="H41" s="12">
        <v>21.6</v>
      </c>
      <c r="I41" s="15">
        <f t="shared" si="0"/>
        <v>0.80000000000000071</v>
      </c>
    </row>
    <row r="42" spans="1:24" ht="16.05" customHeight="1" x14ac:dyDescent="0.3">
      <c r="A42" s="81"/>
      <c r="B42" s="84"/>
      <c r="C42" s="56">
        <v>41</v>
      </c>
      <c r="D42" s="34">
        <v>20.6</v>
      </c>
      <c r="E42" s="12">
        <v>20.399999999999999</v>
      </c>
      <c r="F42" s="12">
        <v>20.9</v>
      </c>
      <c r="G42" s="12">
        <v>21.1</v>
      </c>
      <c r="H42" s="12">
        <v>21.4</v>
      </c>
      <c r="I42" s="15">
        <f t="shared" si="0"/>
        <v>0.79999999999999716</v>
      </c>
    </row>
    <row r="43" spans="1:24" ht="16.05" customHeight="1" x14ac:dyDescent="0.3">
      <c r="A43" s="81"/>
      <c r="B43" s="84"/>
      <c r="C43" s="56">
        <v>92</v>
      </c>
      <c r="D43" s="34">
        <v>21.6</v>
      </c>
      <c r="E43" s="12">
        <v>22.4</v>
      </c>
      <c r="F43" s="12">
        <v>23.4</v>
      </c>
      <c r="G43" s="12">
        <v>23.3</v>
      </c>
      <c r="H43" s="12">
        <v>24.3</v>
      </c>
      <c r="I43" s="15">
        <f t="shared" si="0"/>
        <v>2.6999999999999993</v>
      </c>
    </row>
    <row r="44" spans="1:24" ht="16.05" customHeight="1" x14ac:dyDescent="0.3">
      <c r="A44" s="81"/>
      <c r="B44" s="84"/>
      <c r="C44" s="56">
        <v>178</v>
      </c>
      <c r="D44" s="34">
        <v>20.8</v>
      </c>
      <c r="E44" s="12">
        <v>21.3</v>
      </c>
      <c r="F44" s="12">
        <v>21.9</v>
      </c>
      <c r="G44" s="12">
        <v>22.2</v>
      </c>
      <c r="H44" s="12">
        <v>22.5</v>
      </c>
      <c r="I44" s="15">
        <f t="shared" si="0"/>
        <v>1.6999999999999993</v>
      </c>
    </row>
    <row r="45" spans="1:24" ht="16.05" customHeight="1" x14ac:dyDescent="0.3">
      <c r="A45" s="81"/>
      <c r="B45" s="84"/>
      <c r="C45" s="56">
        <v>179</v>
      </c>
      <c r="D45" s="34">
        <v>20.9</v>
      </c>
      <c r="E45" s="12">
        <v>21.4</v>
      </c>
      <c r="F45" s="12">
        <v>21.4</v>
      </c>
      <c r="G45" s="12">
        <v>21.6</v>
      </c>
      <c r="H45" s="12">
        <v>22.3</v>
      </c>
      <c r="I45" s="15">
        <f t="shared" si="0"/>
        <v>1.4000000000000021</v>
      </c>
    </row>
    <row r="46" spans="1:24" ht="16.05" customHeight="1" x14ac:dyDescent="0.3">
      <c r="A46" s="81"/>
      <c r="B46" s="84"/>
      <c r="C46" s="56">
        <v>180</v>
      </c>
      <c r="D46" s="34">
        <v>22.7</v>
      </c>
      <c r="E46" s="12">
        <v>23.8</v>
      </c>
      <c r="F46" s="12">
        <v>25.5</v>
      </c>
      <c r="G46" s="12">
        <v>26.6</v>
      </c>
      <c r="H46" s="12">
        <v>27.9</v>
      </c>
      <c r="I46" s="15">
        <f t="shared" si="0"/>
        <v>5.1999999999999993</v>
      </c>
    </row>
    <row r="47" spans="1:24" ht="16.05" customHeight="1" x14ac:dyDescent="0.3">
      <c r="A47" s="81"/>
      <c r="B47" s="84"/>
      <c r="C47" s="56">
        <v>193</v>
      </c>
      <c r="D47" s="34">
        <v>23.6</v>
      </c>
      <c r="E47" s="12">
        <v>23.6</v>
      </c>
      <c r="F47" s="12">
        <v>25.3</v>
      </c>
      <c r="G47" s="12">
        <v>24.2</v>
      </c>
      <c r="H47" s="12">
        <v>25.8</v>
      </c>
      <c r="I47" s="15">
        <f t="shared" si="0"/>
        <v>2.1999999999999993</v>
      </c>
    </row>
    <row r="48" spans="1:24" ht="16.05" customHeight="1" x14ac:dyDescent="0.3">
      <c r="A48" s="81"/>
      <c r="B48" s="84"/>
      <c r="C48" s="56">
        <v>194</v>
      </c>
      <c r="D48" s="34">
        <v>21.5</v>
      </c>
      <c r="E48" s="12">
        <v>24.2</v>
      </c>
      <c r="F48" s="12">
        <v>22.4</v>
      </c>
      <c r="G48" s="12">
        <v>23</v>
      </c>
      <c r="H48" s="12">
        <v>25.6</v>
      </c>
      <c r="I48" s="15">
        <f t="shared" si="0"/>
        <v>4.1000000000000014</v>
      </c>
    </row>
    <row r="49" spans="1:17" x14ac:dyDescent="0.3">
      <c r="A49" s="81"/>
      <c r="B49" s="84"/>
      <c r="C49" s="56">
        <v>195</v>
      </c>
      <c r="D49" s="34">
        <v>22</v>
      </c>
      <c r="E49" s="12">
        <v>23</v>
      </c>
      <c r="F49" s="12">
        <v>23</v>
      </c>
      <c r="G49" s="12">
        <v>23.4</v>
      </c>
      <c r="H49" s="12">
        <v>24.4</v>
      </c>
      <c r="I49" s="15">
        <f t="shared" si="0"/>
        <v>2.3999999999999986</v>
      </c>
    </row>
    <row r="50" spans="1:17" x14ac:dyDescent="0.3">
      <c r="A50" s="81"/>
      <c r="B50" s="84"/>
      <c r="C50" s="56">
        <v>215</v>
      </c>
      <c r="D50" s="34">
        <v>22</v>
      </c>
      <c r="E50" s="12">
        <v>21.7</v>
      </c>
      <c r="F50" s="12">
        <v>22.4</v>
      </c>
      <c r="G50" s="12">
        <v>22.5</v>
      </c>
      <c r="H50" s="12">
        <v>22.3</v>
      </c>
      <c r="I50" s="15">
        <f t="shared" si="0"/>
        <v>0.30000000000000071</v>
      </c>
    </row>
    <row r="51" spans="1:17" x14ac:dyDescent="0.3">
      <c r="A51" s="81"/>
      <c r="B51" s="84"/>
      <c r="C51" s="56">
        <v>216</v>
      </c>
      <c r="D51" s="34">
        <v>22</v>
      </c>
      <c r="E51" s="12">
        <v>23</v>
      </c>
      <c r="F51" s="12">
        <v>23.1</v>
      </c>
      <c r="G51" s="12">
        <v>22.7</v>
      </c>
      <c r="H51" s="12">
        <v>22.8</v>
      </c>
      <c r="I51" s="15">
        <f t="shared" si="0"/>
        <v>0.80000000000000071</v>
      </c>
    </row>
    <row r="52" spans="1:17" x14ac:dyDescent="0.3">
      <c r="A52" s="81"/>
      <c r="B52" s="84"/>
      <c r="C52" s="56">
        <v>217</v>
      </c>
      <c r="D52" s="34">
        <v>22.8</v>
      </c>
      <c r="E52" s="12">
        <v>23.2</v>
      </c>
      <c r="F52" s="12">
        <v>23.9</v>
      </c>
      <c r="G52" s="12">
        <v>25.1</v>
      </c>
      <c r="H52" s="12">
        <v>25.9</v>
      </c>
      <c r="I52" s="15">
        <f t="shared" si="0"/>
        <v>3.0999999999999979</v>
      </c>
    </row>
    <row r="53" spans="1:17" x14ac:dyDescent="0.3">
      <c r="A53" s="81"/>
      <c r="B53" s="84"/>
      <c r="C53" s="56">
        <v>218</v>
      </c>
      <c r="D53" s="34">
        <v>20.399999999999999</v>
      </c>
      <c r="E53" s="12">
        <v>20.9</v>
      </c>
      <c r="F53" s="12">
        <v>21.1</v>
      </c>
      <c r="G53" s="12">
        <v>21.2</v>
      </c>
      <c r="H53" s="12">
        <v>21</v>
      </c>
      <c r="I53" s="15">
        <f t="shared" si="0"/>
        <v>0.60000000000000142</v>
      </c>
    </row>
    <row r="54" spans="1:17" x14ac:dyDescent="0.3">
      <c r="A54" s="81"/>
      <c r="B54" s="85"/>
      <c r="C54" s="57">
        <v>219</v>
      </c>
      <c r="D54" s="35">
        <v>21.1</v>
      </c>
      <c r="E54" s="17">
        <v>21.2</v>
      </c>
      <c r="F54" s="17">
        <v>21.4</v>
      </c>
      <c r="G54" s="17">
        <v>21.7</v>
      </c>
      <c r="H54" s="17">
        <v>21.9</v>
      </c>
      <c r="I54" s="18">
        <f t="shared" si="0"/>
        <v>0.79999999999999716</v>
      </c>
    </row>
    <row r="55" spans="1:17" ht="16.05" customHeight="1" x14ac:dyDescent="0.3">
      <c r="A55" s="81"/>
      <c r="B55" s="86" t="s">
        <v>24</v>
      </c>
      <c r="C55" s="10">
        <v>12</v>
      </c>
      <c r="D55" s="34">
        <v>21.35</v>
      </c>
      <c r="E55" s="12">
        <v>21.3</v>
      </c>
      <c r="F55" s="12">
        <v>21.133333333333333</v>
      </c>
      <c r="G55" s="12">
        <v>21.766666666666669</v>
      </c>
      <c r="H55" s="12">
        <v>22.733333333333334</v>
      </c>
      <c r="I55" s="15">
        <f t="shared" si="0"/>
        <v>1.3833333333333329</v>
      </c>
    </row>
    <row r="56" spans="1:17" x14ac:dyDescent="0.3">
      <c r="A56" s="81"/>
      <c r="B56" s="86"/>
      <c r="C56" s="10">
        <v>13</v>
      </c>
      <c r="D56" s="34">
        <v>20.9</v>
      </c>
      <c r="E56" s="12">
        <v>20.766666666666666</v>
      </c>
      <c r="F56" s="12">
        <v>21.666666666666668</v>
      </c>
      <c r="G56" s="12">
        <v>21.900000000000002</v>
      </c>
      <c r="H56" s="12">
        <v>22.333333333333332</v>
      </c>
      <c r="I56" s="15">
        <f t="shared" si="0"/>
        <v>1.4333333333333336</v>
      </c>
    </row>
    <row r="57" spans="1:17" x14ac:dyDescent="0.3">
      <c r="A57" s="81"/>
      <c r="B57" s="86"/>
      <c r="C57" s="10">
        <v>14</v>
      </c>
      <c r="D57" s="34">
        <v>20.95</v>
      </c>
      <c r="E57" s="12">
        <v>21.2</v>
      </c>
      <c r="F57" s="12">
        <v>22.366666666666664</v>
      </c>
      <c r="G57" s="12">
        <v>22.75</v>
      </c>
      <c r="H57" s="12">
        <v>23.433333333333334</v>
      </c>
      <c r="I57" s="15">
        <f t="shared" si="0"/>
        <v>2.4833333333333343</v>
      </c>
    </row>
    <row r="58" spans="1:17" x14ac:dyDescent="0.3">
      <c r="A58" s="81"/>
      <c r="B58" s="86"/>
      <c r="C58" s="56">
        <v>99</v>
      </c>
      <c r="D58" s="34">
        <v>21.1</v>
      </c>
      <c r="E58" s="12">
        <v>20.966666666666665</v>
      </c>
      <c r="F58" s="12">
        <v>21</v>
      </c>
      <c r="G58" s="12">
        <v>21.3</v>
      </c>
      <c r="H58" s="12">
        <v>21.733333333333334</v>
      </c>
      <c r="I58" s="15">
        <f t="shared" si="0"/>
        <v>0.63333333333333286</v>
      </c>
    </row>
    <row r="59" spans="1:17" x14ac:dyDescent="0.3">
      <c r="A59" s="81"/>
      <c r="B59" s="86"/>
      <c r="C59" s="56">
        <v>115</v>
      </c>
      <c r="D59" s="34">
        <v>19.933333333333334</v>
      </c>
      <c r="E59" s="12">
        <v>21.033333333333335</v>
      </c>
      <c r="F59" s="12">
        <v>20.766666666666666</v>
      </c>
      <c r="G59" s="12">
        <v>21.066666666666666</v>
      </c>
      <c r="H59" s="12">
        <v>21.666666666666668</v>
      </c>
      <c r="I59" s="15">
        <f t="shared" si="0"/>
        <v>1.7333333333333343</v>
      </c>
    </row>
    <row r="60" spans="1:17" x14ac:dyDescent="0.3">
      <c r="A60" s="81"/>
      <c r="B60" s="86"/>
      <c r="C60" s="56">
        <v>116</v>
      </c>
      <c r="D60" s="34">
        <v>20.2</v>
      </c>
      <c r="E60" s="12">
        <v>22.266666666666666</v>
      </c>
      <c r="F60" s="12">
        <v>22.266666666666666</v>
      </c>
      <c r="G60" s="12">
        <v>22.733333333333334</v>
      </c>
      <c r="H60" s="12">
        <v>23.5</v>
      </c>
      <c r="I60" s="15">
        <f t="shared" si="0"/>
        <v>3.3000000000000007</v>
      </c>
    </row>
    <row r="61" spans="1:17" x14ac:dyDescent="0.3">
      <c r="A61" s="81"/>
      <c r="B61" s="86"/>
      <c r="C61" s="56">
        <v>117</v>
      </c>
      <c r="D61" s="34">
        <v>21.833333333333332</v>
      </c>
      <c r="E61" s="12">
        <v>20.666666666666668</v>
      </c>
      <c r="F61" s="12">
        <v>21.133333333333333</v>
      </c>
      <c r="G61" s="12">
        <v>21.633333333333336</v>
      </c>
      <c r="H61" s="12">
        <v>21.666666666666668</v>
      </c>
      <c r="I61" s="15">
        <f t="shared" si="0"/>
        <v>-0.1666666666666643</v>
      </c>
    </row>
    <row r="62" spans="1:17" x14ac:dyDescent="0.3">
      <c r="A62" s="81"/>
      <c r="B62" s="86"/>
      <c r="C62" s="56">
        <v>150</v>
      </c>
      <c r="D62" s="34">
        <v>21.700000000000003</v>
      </c>
      <c r="E62" s="12">
        <v>22.333333333333332</v>
      </c>
      <c r="F62" s="12">
        <v>23</v>
      </c>
      <c r="G62" s="12" t="s">
        <v>27</v>
      </c>
      <c r="H62" s="12">
        <v>23.7</v>
      </c>
      <c r="I62" s="15">
        <f t="shared" si="0"/>
        <v>1.9999999999999964</v>
      </c>
    </row>
    <row r="63" spans="1:17" ht="16.05" customHeight="1" x14ac:dyDescent="0.3">
      <c r="A63" s="81"/>
      <c r="B63" s="86"/>
      <c r="C63" s="56">
        <v>151</v>
      </c>
      <c r="D63" s="34">
        <v>21.9</v>
      </c>
      <c r="E63" s="12">
        <v>22.733333333333334</v>
      </c>
      <c r="F63" s="12">
        <v>22.9</v>
      </c>
      <c r="G63" s="12" t="s">
        <v>27</v>
      </c>
      <c r="H63" s="12">
        <v>23.566666666666666</v>
      </c>
      <c r="I63" s="15">
        <f t="shared" si="0"/>
        <v>1.6666666666666679</v>
      </c>
      <c r="J63" s="12"/>
      <c r="K63" s="12"/>
      <c r="L63" s="12"/>
      <c r="M63" s="12"/>
      <c r="N63" s="12"/>
      <c r="O63" s="12"/>
      <c r="P63" s="12"/>
      <c r="Q63" s="12"/>
    </row>
    <row r="64" spans="1:17" ht="16.05" customHeight="1" x14ac:dyDescent="0.3">
      <c r="A64" s="81"/>
      <c r="B64" s="86"/>
      <c r="C64" s="56">
        <v>152</v>
      </c>
      <c r="D64" s="34">
        <v>22.950000000000003</v>
      </c>
      <c r="E64" s="12">
        <v>21.233333333333334</v>
      </c>
      <c r="F64" s="12">
        <v>20.9</v>
      </c>
      <c r="G64" s="12" t="s">
        <v>27</v>
      </c>
      <c r="H64" s="12">
        <v>21.366666666666664</v>
      </c>
      <c r="I64" s="15">
        <f t="shared" si="0"/>
        <v>-1.5833333333333393</v>
      </c>
      <c r="J64" s="12"/>
      <c r="K64" s="12"/>
      <c r="L64" s="12"/>
      <c r="M64" s="12"/>
      <c r="N64" s="12"/>
      <c r="O64" s="12"/>
      <c r="P64" s="12"/>
      <c r="Q64" s="12"/>
    </row>
    <row r="65" spans="1:17" ht="16.05" customHeight="1" x14ac:dyDescent="0.3">
      <c r="A65" s="81"/>
      <c r="B65" s="86"/>
      <c r="C65" s="56">
        <v>153</v>
      </c>
      <c r="D65" s="34">
        <v>23.4</v>
      </c>
      <c r="E65" s="12">
        <v>20.5</v>
      </c>
      <c r="F65" s="12">
        <v>21</v>
      </c>
      <c r="G65" s="12" t="s">
        <v>27</v>
      </c>
      <c r="H65" s="12">
        <v>21.666666666666668</v>
      </c>
      <c r="I65" s="15">
        <f t="shared" si="0"/>
        <v>-1.7333333333333307</v>
      </c>
      <c r="J65" s="12"/>
      <c r="K65" s="12"/>
      <c r="L65" s="12"/>
      <c r="M65" s="12"/>
      <c r="N65" s="12"/>
      <c r="O65" s="12"/>
      <c r="P65" s="12"/>
      <c r="Q65" s="12"/>
    </row>
    <row r="66" spans="1:17" ht="16.05" customHeight="1" x14ac:dyDescent="0.3">
      <c r="A66" s="81"/>
      <c r="B66" s="86"/>
      <c r="C66" s="56">
        <v>171</v>
      </c>
      <c r="D66" s="34">
        <v>21.1</v>
      </c>
      <c r="E66" s="12">
        <v>21.733333333333331</v>
      </c>
      <c r="F66" s="12">
        <v>21.833333333333332</v>
      </c>
      <c r="G66" s="12">
        <v>22.400000000000002</v>
      </c>
      <c r="H66" s="12">
        <v>22.266666666666666</v>
      </c>
      <c r="I66" s="15">
        <f t="shared" ref="I66:I72" si="2">H66-D66</f>
        <v>1.1666666666666643</v>
      </c>
      <c r="J66" s="12"/>
      <c r="K66" s="12"/>
      <c r="L66" s="12"/>
      <c r="M66" s="12"/>
      <c r="N66" s="12"/>
      <c r="O66" s="12"/>
      <c r="P66" s="12"/>
      <c r="Q66" s="12"/>
    </row>
    <row r="67" spans="1:17" ht="16.05" customHeight="1" x14ac:dyDescent="0.3">
      <c r="A67" s="81"/>
      <c r="B67" s="86"/>
      <c r="C67" s="56">
        <v>172</v>
      </c>
      <c r="D67" s="34">
        <v>20.466666666666665</v>
      </c>
      <c r="E67" s="12">
        <v>20.6</v>
      </c>
      <c r="F67" s="12">
        <v>20.966666666666669</v>
      </c>
      <c r="G67" s="12">
        <v>21.333333333333332</v>
      </c>
      <c r="H67" s="12">
        <v>21.5</v>
      </c>
      <c r="I67" s="15">
        <f t="shared" si="2"/>
        <v>1.033333333333335</v>
      </c>
      <c r="J67" s="12"/>
      <c r="K67" s="12"/>
      <c r="L67" s="12"/>
      <c r="M67" s="12"/>
      <c r="N67" s="12"/>
      <c r="O67" s="12"/>
      <c r="P67" s="12"/>
      <c r="Q67" s="12"/>
    </row>
    <row r="68" spans="1:17" ht="16.05" customHeight="1" x14ac:dyDescent="0.3">
      <c r="A68" s="81"/>
      <c r="B68" s="86"/>
      <c r="C68" s="56">
        <v>173</v>
      </c>
      <c r="D68" s="34">
        <v>22.033333333333331</v>
      </c>
      <c r="E68" s="12">
        <v>22.7</v>
      </c>
      <c r="F68" s="12">
        <v>22.066666666666666</v>
      </c>
      <c r="G68" s="12">
        <v>22.466666666666669</v>
      </c>
      <c r="H68" s="12">
        <v>22.633333333333336</v>
      </c>
      <c r="I68" s="15">
        <f t="shared" si="2"/>
        <v>0.60000000000000497</v>
      </c>
    </row>
    <row r="69" spans="1:17" ht="16.05" customHeight="1" x14ac:dyDescent="0.3">
      <c r="A69" s="81"/>
      <c r="B69" s="86"/>
      <c r="C69" s="56">
        <v>174</v>
      </c>
      <c r="D69" s="34">
        <v>22.833333333333332</v>
      </c>
      <c r="E69" s="12">
        <v>23.3</v>
      </c>
      <c r="F69" s="12">
        <v>23.900000000000002</v>
      </c>
      <c r="G69" s="12">
        <v>24</v>
      </c>
      <c r="H69" s="12">
        <v>23.8</v>
      </c>
      <c r="I69" s="15">
        <f t="shared" si="2"/>
        <v>0.96666666666666856</v>
      </c>
    </row>
    <row r="70" spans="1:17" ht="16.05" customHeight="1" x14ac:dyDescent="0.3">
      <c r="A70" s="81"/>
      <c r="B70" s="86"/>
      <c r="C70" s="56">
        <v>250</v>
      </c>
      <c r="D70" s="34">
        <v>21.4</v>
      </c>
      <c r="E70" s="12">
        <v>22.233333333333331</v>
      </c>
      <c r="F70" s="12">
        <v>22.166666666666668</v>
      </c>
      <c r="G70" s="12">
        <v>22.45</v>
      </c>
      <c r="H70" s="12">
        <v>23.066666666666666</v>
      </c>
      <c r="I70" s="15">
        <f t="shared" si="2"/>
        <v>1.6666666666666679</v>
      </c>
    </row>
    <row r="71" spans="1:17" ht="16.05" customHeight="1" x14ac:dyDescent="0.3">
      <c r="A71" s="81"/>
      <c r="B71" s="86"/>
      <c r="C71" s="56">
        <v>251</v>
      </c>
      <c r="D71" s="34">
        <v>22.2</v>
      </c>
      <c r="E71" s="12">
        <v>22.3</v>
      </c>
      <c r="F71" s="12">
        <v>22.7</v>
      </c>
      <c r="G71" s="12">
        <v>24.15</v>
      </c>
      <c r="H71" s="12">
        <v>24.433333333333334</v>
      </c>
      <c r="I71" s="15">
        <f t="shared" si="2"/>
        <v>2.2333333333333343</v>
      </c>
    </row>
    <row r="72" spans="1:17" ht="16.05" customHeight="1" thickBot="1" x14ac:dyDescent="0.35">
      <c r="A72" s="82"/>
      <c r="B72" s="87"/>
      <c r="C72" s="58">
        <v>284</v>
      </c>
      <c r="D72" s="36">
        <v>23.7</v>
      </c>
      <c r="E72" s="13">
        <v>23.533333333333331</v>
      </c>
      <c r="F72" s="13">
        <v>23.066666666666663</v>
      </c>
      <c r="G72" s="13">
        <v>23.45</v>
      </c>
      <c r="H72" s="13">
        <v>24.099999999999998</v>
      </c>
      <c r="I72" s="16">
        <f t="shared" si="2"/>
        <v>0.39999999999999858</v>
      </c>
    </row>
    <row r="73" spans="1:17" ht="16.05" customHeight="1" x14ac:dyDescent="0.3"/>
  </sheetData>
  <mergeCells count="6">
    <mergeCell ref="A2:A37"/>
    <mergeCell ref="A38:A72"/>
    <mergeCell ref="B21:B37"/>
    <mergeCell ref="B55:B72"/>
    <mergeCell ref="B2:B20"/>
    <mergeCell ref="B38:B5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Depression-like behavior</vt:lpstr>
      <vt:lpstr>Anxiety</vt:lpstr>
      <vt:lpstr>Social interaction</vt:lpstr>
      <vt:lpstr>Spatial memory</vt:lpstr>
      <vt:lpstr>Corticosterone</vt:lpstr>
      <vt:lpstr>Body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Smolenskii</dc:creator>
  <cp:lastModifiedBy>Hanna Bacave</cp:lastModifiedBy>
  <dcterms:created xsi:type="dcterms:W3CDTF">2023-09-29T15:54:02Z</dcterms:created>
  <dcterms:modified xsi:type="dcterms:W3CDTF">2026-10-26T14:40:08Z</dcterms:modified>
</cp:coreProperties>
</file>